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石井達也\Downloads\"/>
    </mc:Choice>
  </mc:AlternateContent>
  <xr:revisionPtr revIDLastSave="0" documentId="13_ncr:1_{520CD199-951F-46FD-96D9-B1A9B1D954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計画書" sheetId="1" r:id="rId1"/>
    <sheet name="進捗サマリ" sheetId="2" r:id="rId2"/>
    <sheet name="テスト実施記録" sheetId="3" r:id="rId3"/>
    <sheet name="スケジュール" sheetId="4" r:id="rId4"/>
    <sheet name="リスク" sheetId="5" r:id="rId5"/>
    <sheet name="不具合・気づき" sheetId="6" r:id="rId6"/>
  </sheets>
  <definedNames>
    <definedName name="_xlnm._FilterDatabase" localSheetId="2" hidden="1">テスト実施記録!$A$5:$M$65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G7" i="4"/>
  <c r="G6" i="4"/>
  <c r="G5" i="4"/>
  <c r="G14" i="2"/>
  <c r="F14" i="2"/>
  <c r="E14" i="2"/>
  <c r="D14" i="2"/>
  <c r="C14" i="2"/>
  <c r="H14" i="2" s="1"/>
  <c r="B14" i="2"/>
  <c r="G13" i="2"/>
  <c r="F13" i="2"/>
  <c r="E13" i="2"/>
  <c r="D13" i="2"/>
  <c r="C13" i="2"/>
  <c r="H13" i="2" s="1"/>
  <c r="B13" i="2"/>
  <c r="G12" i="2"/>
  <c r="F12" i="2"/>
  <c r="E12" i="2"/>
  <c r="D12" i="2"/>
  <c r="C12" i="2"/>
  <c r="H12" i="2" s="1"/>
  <c r="B12" i="2"/>
  <c r="G11" i="2"/>
  <c r="F11" i="2"/>
  <c r="E11" i="2"/>
  <c r="D11" i="2"/>
  <c r="C11" i="2"/>
  <c r="H11" i="2" s="1"/>
  <c r="B11" i="2"/>
  <c r="G8" i="2"/>
  <c r="F8" i="2"/>
  <c r="E8" i="2"/>
  <c r="D8" i="2"/>
  <c r="C8" i="2"/>
  <c r="H8" i="2" s="1"/>
  <c r="B8" i="2"/>
  <c r="G7" i="2"/>
  <c r="F7" i="2"/>
  <c r="E7" i="2"/>
  <c r="D7" i="2"/>
  <c r="C7" i="2"/>
  <c r="H7" i="2" s="1"/>
  <c r="B7" i="2"/>
  <c r="G6" i="2"/>
  <c r="F6" i="2"/>
  <c r="E6" i="2"/>
  <c r="D6" i="2"/>
  <c r="H6" i="2" s="1"/>
  <c r="C6" i="2"/>
  <c r="B6" i="2"/>
  <c r="G5" i="2"/>
  <c r="F5" i="2"/>
  <c r="E5" i="2"/>
  <c r="D5" i="2"/>
  <c r="C5" i="2"/>
  <c r="H5" i="2" s="1"/>
  <c r="B5" i="2"/>
  <c r="B16" i="2" l="1"/>
</calcChain>
</file>

<file path=xl/sharedStrings.xml><?xml version="1.0" encoding="utf-8"?>
<sst xmlns="http://schemas.openxmlformats.org/spreadsheetml/2006/main" count="876" uniqueCount="398">
  <si>
    <t>テスト計画書</t>
  </si>
  <si>
    <r>
      <rPr>
        <sz val="10"/>
        <color rgb="FF595959"/>
        <rFont val="Meiryo UI"/>
        <family val="3"/>
        <charset val="128"/>
      </rPr>
      <t>QA</t>
    </r>
    <r>
      <rPr>
        <sz val="10"/>
        <color rgb="FF595959"/>
        <rFont val="Noto Sans CJK SC"/>
        <family val="2"/>
      </rPr>
      <t>自動化ポートフォリオ（</t>
    </r>
    <r>
      <rPr>
        <sz val="10"/>
        <color rgb="FF595959"/>
        <rFont val="Meiryo UI"/>
        <family val="3"/>
        <charset val="128"/>
      </rPr>
      <t>SauceDemo</t>
    </r>
    <r>
      <rPr>
        <sz val="10"/>
        <color rgb="FF595959"/>
        <rFont val="Noto Sans CJK SC"/>
        <family val="2"/>
      </rPr>
      <t>／</t>
    </r>
    <r>
      <rPr>
        <sz val="10"/>
        <color rgb="FF595959"/>
        <rFont val="Meiryo UI"/>
        <family val="3"/>
        <charset val="128"/>
      </rPr>
      <t>JSONPlaceholder</t>
    </r>
    <r>
      <rPr>
        <sz val="10"/>
        <color rgb="FF595959"/>
        <rFont val="Noto Sans CJK SC"/>
        <family val="2"/>
      </rPr>
      <t>／</t>
    </r>
    <r>
      <rPr>
        <sz val="10"/>
        <color rgb="FF595959"/>
        <rFont val="Meiryo UI"/>
        <family val="3"/>
        <charset val="128"/>
      </rPr>
      <t>OWASP Juice Shop</t>
    </r>
    <r>
      <rPr>
        <sz val="10"/>
        <color rgb="FF595959"/>
        <rFont val="Noto Sans CJK SC"/>
        <family val="2"/>
      </rPr>
      <t>）</t>
    </r>
  </si>
  <si>
    <t>文書名</t>
  </si>
  <si>
    <r>
      <rPr>
        <sz val="10"/>
        <color rgb="FF000000"/>
        <rFont val="Noto Sans CJK SC"/>
        <family val="2"/>
      </rPr>
      <t>テスト計画書（</t>
    </r>
    <r>
      <rPr>
        <sz val="10"/>
        <color rgb="FF000000"/>
        <rFont val="Meiryo UI"/>
        <family val="3"/>
        <charset val="128"/>
      </rPr>
      <t>QA</t>
    </r>
    <r>
      <rPr>
        <sz val="10"/>
        <color rgb="FF000000"/>
        <rFont val="Noto Sans CJK SC"/>
        <family val="2"/>
      </rPr>
      <t>自動化ポートフォリオ）</t>
    </r>
  </si>
  <si>
    <t>版</t>
  </si>
  <si>
    <t>1.0</t>
  </si>
  <si>
    <t>作成日</t>
  </si>
  <si>
    <t>作成者</t>
  </si>
  <si>
    <t>関連文書</t>
  </si>
  <si>
    <r>
      <rPr>
        <sz val="10"/>
        <color rgb="FF000000"/>
        <rFont val="Noto Sans CJK SC"/>
        <family val="2"/>
      </rPr>
      <t>テスト設計の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（要求分析・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表・テストマップ・テストケース。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54</t>
    </r>
    <r>
      <rPr>
        <sz val="10"/>
        <color rgb="FF000000"/>
        <rFont val="Noto Sans CJK SC"/>
        <family val="2"/>
      </rPr>
      <t>）</t>
    </r>
  </si>
  <si>
    <t>黄色のセル</t>
  </si>
  <si>
    <r>
      <rPr>
        <sz val="10"/>
        <color rgb="FF000000"/>
        <rFont val="Noto Sans CJK SC"/>
        <family val="2"/>
      </rPr>
      <t>自分で入力・更新するセル（作成者、予定日、状況、結果、実施日、備考など）。それ以外は、設計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から作った内容。</t>
    </r>
  </si>
  <si>
    <r>
      <rPr>
        <b/>
        <sz val="10"/>
        <color rgb="FF000000"/>
        <rFont val="Meiryo UI"/>
        <family val="3"/>
        <charset val="128"/>
      </rPr>
      <t xml:space="preserve">1. </t>
    </r>
    <r>
      <rPr>
        <b/>
        <sz val="10"/>
        <color rgb="FF000000"/>
        <rFont val="Noto Sans CJK SC"/>
        <family val="2"/>
      </rPr>
      <t>目的と品質目標</t>
    </r>
  </si>
  <si>
    <t>目的</t>
  </si>
  <si>
    <r>
      <rPr>
        <sz val="10"/>
        <color rgb="FF000000"/>
        <rFont val="Meiryo UI"/>
        <family val="3"/>
        <charset val="128"/>
      </rPr>
      <t>QA</t>
    </r>
    <r>
      <rPr>
        <sz val="10"/>
        <color rgb="FF000000"/>
        <rFont val="Noto Sans CJK SC"/>
        <family val="2"/>
      </rPr>
      <t xml:space="preserve">として、テスト設計（要求分析 → 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 → テストマップ → テストケース）から、自動化、</t>
    </r>
    <r>
      <rPr>
        <sz val="10"/>
        <color rgb="FF000000"/>
        <rFont val="Meiryo UI"/>
        <family val="3"/>
        <charset val="128"/>
      </rPr>
      <t>CI</t>
    </r>
    <r>
      <rPr>
        <sz val="10"/>
        <color rgb="FF000000"/>
        <rFont val="Noto Sans CJK SC"/>
        <family val="2"/>
      </rPr>
      <t>での自動実行までを一通り行い、その過程と成果物をポートフォリオとして示す。</t>
    </r>
  </si>
  <si>
    <t>品質目標の考え方</t>
  </si>
  <si>
    <r>
      <rPr>
        <sz val="10"/>
        <color rgb="FF000000"/>
        <rFont val="Noto Sans CJK SC"/>
        <family val="2"/>
      </rPr>
      <t>品質目標を「あってはならない（</t>
    </r>
    <r>
      <rPr>
        <sz val="10"/>
        <color rgb="FF000000"/>
        <rFont val="Meiryo UI"/>
        <family val="3"/>
        <charset val="128"/>
      </rPr>
      <t>Never</t>
    </r>
    <r>
      <rPr>
        <sz val="10"/>
        <color rgb="FF000000"/>
        <rFont val="Noto Sans CJK SC"/>
        <family val="2"/>
      </rPr>
      <t>）／出来なければならない（</t>
    </r>
    <r>
      <rPr>
        <sz val="10"/>
        <color rgb="FF000000"/>
        <rFont val="Meiryo UI"/>
        <family val="3"/>
        <charset val="128"/>
      </rPr>
      <t>Must</t>
    </r>
    <r>
      <rPr>
        <sz val="10"/>
        <color rgb="FF000000"/>
        <rFont val="Noto Sans CJK SC"/>
        <family val="2"/>
      </rPr>
      <t>）／あったらいいな（</t>
    </r>
    <r>
      <rPr>
        <sz val="10"/>
        <color rgb="FF000000"/>
        <rFont val="Meiryo UI"/>
        <family val="3"/>
        <charset val="128"/>
      </rPr>
      <t>Want</t>
    </r>
    <r>
      <rPr>
        <sz val="10"/>
        <color rgb="FF000000"/>
        <rFont val="Noto Sans CJK SC"/>
        <family val="2"/>
      </rPr>
      <t>）」に分類し、</t>
    </r>
    <r>
      <rPr>
        <sz val="10"/>
        <color rgb="FF000000"/>
        <rFont val="Meiryo UI"/>
        <family val="3"/>
        <charset val="128"/>
      </rPr>
      <t>Never</t>
    </r>
    <r>
      <rPr>
        <sz val="10"/>
        <color rgb="FF000000"/>
        <rFont val="Noto Sans CJK SC"/>
        <family val="2"/>
      </rPr>
      <t>と</t>
    </r>
    <r>
      <rPr>
        <sz val="10"/>
        <color rgb="FF000000"/>
        <rFont val="Meiryo UI"/>
        <family val="3"/>
        <charset val="128"/>
      </rPr>
      <t>Must</t>
    </r>
    <r>
      <rPr>
        <sz val="10"/>
        <color rgb="FF000000"/>
        <rFont val="Noto Sans CJK SC"/>
        <family val="2"/>
      </rPr>
      <t>を優先してテストする。詳細は、設計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の「要求分析」シート。</t>
    </r>
  </si>
  <si>
    <t>数値の目標（仮置き）</t>
  </si>
  <si>
    <r>
      <rPr>
        <sz val="10"/>
        <color rgb="FF000000"/>
        <rFont val="Noto Sans CJK SC"/>
        <family val="2"/>
      </rPr>
      <t>・通常負荷：</t>
    </r>
    <r>
      <rPr>
        <sz val="10"/>
        <color rgb="FF000000"/>
        <rFont val="Meiryo UI"/>
        <family val="3"/>
        <charset val="128"/>
      </rPr>
      <t>10</t>
    </r>
    <r>
      <rPr>
        <sz val="10"/>
        <color rgb="FF000000"/>
        <rFont val="Noto Sans CJK SC"/>
        <family val="2"/>
      </rPr>
      <t>同時ユーザー、立ち上げ</t>
    </r>
    <r>
      <rPr>
        <sz val="10"/>
        <color rgb="FF000000"/>
        <rFont val="Meiryo UI"/>
        <family val="3"/>
        <charset val="128"/>
      </rPr>
      <t>10</t>
    </r>
    <r>
      <rPr>
        <sz val="10"/>
        <color rgb="FF000000"/>
        <rFont val="Noto Sans CJK SC"/>
        <family val="2"/>
      </rPr>
      <t>秒、継続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分
・応答時間：平均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秒以内、</t>
    </r>
    <r>
      <rPr>
        <sz val="10"/>
        <color rgb="FF000000"/>
        <rFont val="Meiryo UI"/>
        <family val="3"/>
        <charset val="128"/>
      </rPr>
      <t>95</t>
    </r>
    <r>
      <rPr>
        <sz val="10"/>
        <color rgb="FF000000"/>
        <rFont val="Noto Sans CJK SC"/>
        <family val="2"/>
      </rPr>
      <t>パーセンタイル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秒以内、最大</t>
    </r>
    <r>
      <rPr>
        <sz val="10"/>
        <color rgb="FF000000"/>
        <rFont val="Meiryo UI"/>
        <family val="3"/>
        <charset val="128"/>
      </rPr>
      <t>5</t>
    </r>
    <r>
      <rPr>
        <sz val="10"/>
        <color rgb="FF000000"/>
        <rFont val="Noto Sans CJK SC"/>
        <family val="2"/>
      </rPr>
      <t>秒以内
・エラー率：</t>
    </r>
    <r>
      <rPr>
        <sz val="10"/>
        <color rgb="FF000000"/>
        <rFont val="Meiryo UI"/>
        <family val="3"/>
        <charset val="128"/>
      </rPr>
      <t>1%</t>
    </r>
    <r>
      <rPr>
        <sz val="10"/>
        <color rgb="FF000000"/>
        <rFont val="Noto Sans CJK SC"/>
        <family val="2"/>
      </rPr>
      <t>未満
・限界の目安：エラー率が</t>
    </r>
    <r>
      <rPr>
        <sz val="10"/>
        <color rgb="FF000000"/>
        <rFont val="Meiryo UI"/>
        <family val="3"/>
        <charset val="128"/>
      </rPr>
      <t>5%</t>
    </r>
    <r>
      <rPr>
        <sz val="10"/>
        <color rgb="FF000000"/>
        <rFont val="Noto Sans CJK SC"/>
        <family val="2"/>
      </rPr>
      <t>を超える、または応答時間が目標の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倍を超えるとき
公開された仕様はないため、学習用の仮置き。実測して見直す。</t>
    </r>
  </si>
  <si>
    <r>
      <rPr>
        <b/>
        <sz val="10"/>
        <color rgb="FF000000"/>
        <rFont val="Meiryo UI"/>
        <family val="3"/>
        <charset val="128"/>
      </rPr>
      <t xml:space="preserve">2. </t>
    </r>
    <r>
      <rPr>
        <b/>
        <sz val="10"/>
        <color rgb="FF000000"/>
        <rFont val="Noto Sans CJK SC"/>
        <family val="2"/>
      </rPr>
      <t>テスト対象</t>
    </r>
  </si>
  <si>
    <r>
      <rPr>
        <b/>
        <sz val="10"/>
        <color rgb="FF000000"/>
        <rFont val="Meiryo UI"/>
        <family val="3"/>
        <charset val="128"/>
      </rPr>
      <t>UI</t>
    </r>
    <r>
      <rPr>
        <b/>
        <sz val="10"/>
        <color rgb="FF000000"/>
        <rFont val="Noto Sans CJK SC"/>
        <family val="2"/>
      </rPr>
      <t>（機能性）</t>
    </r>
  </si>
  <si>
    <r>
      <rPr>
        <sz val="10"/>
        <color rgb="FF000000"/>
        <rFont val="Meiryo UI"/>
        <family val="3"/>
        <charset val="128"/>
      </rPr>
      <t>SauceDemo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https://www.saucedemo.com</t>
    </r>
    <r>
      <rPr>
        <sz val="10"/>
        <color rgb="FF000000"/>
        <rFont val="Noto Sans CJK SC"/>
        <family val="2"/>
      </rPr>
      <t>）。ログイン、ログアウト、商品一覧、カート、チェックアウト。公開されているデモサイト。</t>
    </r>
  </si>
  <si>
    <t>API</t>
  </si>
  <si>
    <r>
      <rPr>
        <sz val="10"/>
        <color rgb="FF000000"/>
        <rFont val="Meiryo UI"/>
        <family val="3"/>
        <charset val="128"/>
      </rPr>
      <t>JSONPlaceholder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https://jsonplaceholder.typicode.com</t>
    </r>
    <r>
      <rPr>
        <sz val="10"/>
        <color rgb="FF000000"/>
        <rFont val="Noto Sans CJK SC"/>
        <family val="2"/>
      </rPr>
      <t xml:space="preserve">）の </t>
    </r>
    <r>
      <rPr>
        <sz val="10"/>
        <color rgb="FF000000"/>
        <rFont val="Meiryo UI"/>
        <family val="3"/>
        <charset val="128"/>
      </rPr>
      <t>/posts</t>
    </r>
    <r>
      <rPr>
        <sz val="10"/>
        <color rgb="FF000000"/>
        <rFont val="Noto Sans CJK SC"/>
        <family val="2"/>
      </rPr>
      <t>。公開されている練習用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。</t>
    </r>
  </si>
  <si>
    <t>負荷（非機能）</t>
  </si>
  <si>
    <r>
      <rPr>
        <sz val="10"/>
        <color rgb="FF000000"/>
        <rFont val="Meiryo UI"/>
        <family val="3"/>
        <charset val="128"/>
      </rPr>
      <t>OWASP Juice Shop</t>
    </r>
    <r>
      <rPr>
        <sz val="10"/>
        <color rgb="FF000000"/>
        <rFont val="Noto Sans CJK SC"/>
        <family val="2"/>
      </rPr>
      <t>（自分の</t>
    </r>
    <r>
      <rPr>
        <sz val="10"/>
        <color rgb="FF000000"/>
        <rFont val="Meiryo UI"/>
        <family val="3"/>
        <charset val="128"/>
      </rPr>
      <t>PC</t>
    </r>
    <r>
      <rPr>
        <sz val="10"/>
        <color rgb="FF000000"/>
        <rFont val="Noto Sans CJK SC"/>
        <family val="2"/>
      </rPr>
      <t xml:space="preserve">上の </t>
    </r>
    <r>
      <rPr>
        <sz val="10"/>
        <color rgb="FF000000"/>
        <rFont val="Meiryo UI"/>
        <family val="3"/>
        <charset val="128"/>
      </rPr>
      <t>http://localhost:3000</t>
    </r>
    <r>
      <rPr>
        <sz val="10"/>
        <color rgb="FF000000"/>
        <rFont val="Noto Sans CJK SC"/>
        <family val="2"/>
      </rPr>
      <t>）。ログイン、商品検索、カート追加。脆弱性を含む練習用アプリなので、外部には公開しない。</t>
    </r>
  </si>
  <si>
    <r>
      <rPr>
        <b/>
        <sz val="10"/>
        <color rgb="FF000000"/>
        <rFont val="Meiryo UI"/>
        <family val="3"/>
        <charset val="128"/>
      </rPr>
      <t xml:space="preserve">3. </t>
    </r>
    <r>
      <rPr>
        <b/>
        <sz val="10"/>
        <color rgb="FF000000"/>
        <rFont val="Noto Sans CJK SC"/>
        <family val="2"/>
      </rPr>
      <t>テスト範囲</t>
    </r>
  </si>
  <si>
    <t>対象（実施する）</t>
  </si>
  <si>
    <r>
      <rPr>
        <sz val="10"/>
        <color rgb="FF000000"/>
        <rFont val="Noto Sans CJK SC"/>
        <family val="2"/>
      </rPr>
      <t>・機能性：ログイン／ログアウト／商品一覧／カート／チェックアウト（</t>
    </r>
    <r>
      <rPr>
        <sz val="10"/>
        <color rgb="FF000000"/>
        <rFont val="Meiryo UI"/>
        <family val="3"/>
        <charset val="128"/>
      </rPr>
      <t>FV-01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19</t>
    </r>
    <r>
      <rPr>
        <sz val="10"/>
        <color rgb="FF000000"/>
        <rFont val="Noto Sans CJK SC"/>
        <family val="2"/>
      </rPr>
      <t>）
・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：投稿の取得・作成・更新・削除
・非機能：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で確認できる性能・負荷・耐久・ストレスの一部（</t>
    </r>
    <r>
      <rPr>
        <sz val="10"/>
        <color rgb="FF000000"/>
        <rFont val="Meiryo UI"/>
        <family val="3"/>
        <charset val="128"/>
      </rPr>
      <t>NF-01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10</t>
    </r>
    <r>
      <rPr>
        <sz val="10"/>
        <color rgb="FF000000"/>
        <rFont val="Noto Sans CJK SC"/>
        <family val="2"/>
      </rPr>
      <t>）
・テストケースは全</t>
    </r>
    <r>
      <rPr>
        <sz val="10"/>
        <color rgb="FF000000"/>
        <rFont val="Meiryo UI"/>
        <family val="3"/>
        <charset val="128"/>
      </rPr>
      <t>54</t>
    </r>
    <r>
      <rPr>
        <sz val="10"/>
        <color rgb="FF000000"/>
        <rFont val="Noto Sans CJK SC"/>
        <family val="2"/>
      </rPr>
      <t>件（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54</t>
    </r>
    <r>
      <rPr>
        <sz val="10"/>
        <color rgb="FF000000"/>
        <rFont val="Noto Sans CJK SC"/>
        <family val="2"/>
      </rPr>
      <t>）。このうち、今回の自動化対象は、</t>
    </r>
    <r>
      <rPr>
        <sz val="10"/>
        <color rgb="FF000000"/>
        <rFont val="Meiryo UI"/>
        <family val="3"/>
        <charset val="128"/>
      </rPr>
      <t>UI</t>
    </r>
    <r>
      <rPr>
        <sz val="10"/>
        <color rgb="FF000000"/>
        <rFont val="Noto Sans CJK SC"/>
        <family val="2"/>
      </rPr>
      <t>が</t>
    </r>
    <r>
      <rPr>
        <sz val="10"/>
        <color rgb="FF000000"/>
        <rFont val="Meiryo UI"/>
        <family val="3"/>
        <charset val="128"/>
      </rPr>
      <t>11</t>
    </r>
    <r>
      <rPr>
        <sz val="10"/>
        <color rgb="FF000000"/>
        <rFont val="Noto Sans CJK SC"/>
        <family val="2"/>
      </rPr>
      <t>件、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が</t>
    </r>
    <r>
      <rPr>
        <sz val="10"/>
        <color rgb="FF000000"/>
        <rFont val="Meiryo UI"/>
        <family val="3"/>
        <charset val="128"/>
      </rPr>
      <t>6</t>
    </r>
    <r>
      <rPr>
        <sz val="10"/>
        <color rgb="FF000000"/>
        <rFont val="Noto Sans CJK SC"/>
        <family val="2"/>
      </rPr>
      <t>件。</t>
    </r>
  </si>
  <si>
    <t>対象外（実施しない）</t>
  </si>
  <si>
    <r>
      <rPr>
        <sz val="10"/>
        <color rgb="FF000000"/>
        <rFont val="Noto Sans CJK SC"/>
        <family val="2"/>
      </rPr>
      <t>・画面の見た目、レイアウト崩れ
・セキュリティ診断（攻撃的な入力による脆弱性の確認）
・使用性、互換性（</t>
    </r>
    <r>
      <rPr>
        <sz val="10"/>
        <color rgb="FF000000"/>
        <rFont val="Meiryo UI"/>
        <family val="3"/>
        <charset val="128"/>
      </rPr>
      <t>Chromium</t>
    </r>
    <r>
      <rPr>
        <sz val="10"/>
        <color rgb="FF000000"/>
        <rFont val="Noto Sans CJK SC"/>
        <family val="2"/>
      </rPr>
      <t>以外のブラウザ・端末）
・資源利用性（サーバーの</t>
    </r>
    <r>
      <rPr>
        <sz val="10"/>
        <color rgb="FF000000"/>
        <rFont val="Meiryo UI"/>
        <family val="3"/>
        <charset val="128"/>
      </rPr>
      <t>CPU</t>
    </r>
    <r>
      <rPr>
        <sz val="10"/>
        <color rgb="FF000000"/>
        <rFont val="Noto Sans CJK SC"/>
        <family val="2"/>
      </rPr>
      <t>・メモリ。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単体では確認できない）
・性能のチューニングやボトルネックの調査（計測と記録まで）
・第三者のサイトへの負荷テスト</t>
    </r>
  </si>
  <si>
    <r>
      <rPr>
        <b/>
        <sz val="10"/>
        <color rgb="FF000000"/>
        <rFont val="Meiryo UI"/>
        <family val="3"/>
        <charset val="128"/>
      </rPr>
      <t xml:space="preserve">4. </t>
    </r>
    <r>
      <rPr>
        <b/>
        <sz val="10"/>
        <color rgb="FF000000"/>
        <rFont val="Noto Sans CJK SC"/>
        <family val="2"/>
      </rPr>
      <t>テストの進め方</t>
    </r>
  </si>
  <si>
    <t>設計</t>
  </si>
  <si>
    <r>
      <rPr>
        <sz val="10"/>
        <color rgb="FF000000"/>
        <rFont val="Noto Sans CJK SC"/>
        <family val="2"/>
      </rPr>
      <t>要求分析（</t>
    </r>
    <r>
      <rPr>
        <sz val="10"/>
        <color rgb="FF000000"/>
        <rFont val="Meiryo UI"/>
        <family val="3"/>
        <charset val="128"/>
      </rPr>
      <t>Never/Must/Want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 → テストマップ（機能</t>
    </r>
    <r>
      <rPr>
        <sz val="10"/>
        <color rgb="FF000000"/>
        <rFont val="Meiryo UI"/>
        <family val="3"/>
        <charset val="128"/>
      </rPr>
      <t>×</t>
    </r>
    <r>
      <rPr>
        <sz val="10"/>
        <color rgb="FF000000"/>
        <rFont val="Noto Sans CJK SC"/>
        <family val="2"/>
      </rPr>
      <t>観点）→ テストケース。仕様書がないため、画面の挙動から要求を推定する。「要確認」の項目は、実施前に手動で確認して、設計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に反映する。</t>
    </r>
  </si>
  <si>
    <r>
      <rPr>
        <b/>
        <sz val="10"/>
        <color rgb="FF000000"/>
        <rFont val="Meiryo UI"/>
        <family val="3"/>
        <charset val="128"/>
      </rPr>
      <t>2</t>
    </r>
    <r>
      <rPr>
        <b/>
        <sz val="10"/>
        <color rgb="FF000000"/>
        <rFont val="Noto Sans CJK SC"/>
        <family val="2"/>
      </rPr>
      <t>つの視点</t>
    </r>
  </si>
  <si>
    <r>
      <rPr>
        <sz val="10"/>
        <color rgb="FF000000"/>
        <rFont val="Meiryo UI"/>
        <family val="3"/>
        <charset val="128"/>
      </rPr>
      <t>Checking</t>
    </r>
    <r>
      <rPr>
        <sz val="10"/>
        <color rgb="FF000000"/>
        <rFont val="Noto Sans CJK SC"/>
        <family val="2"/>
      </rPr>
      <t xml:space="preserve">：仕様どおりに「できること」「できないこと」を確認する（今回、自動化する）。
</t>
    </r>
    <r>
      <rPr>
        <sz val="10"/>
        <color rgb="FF000000"/>
        <rFont val="Meiryo UI"/>
        <family val="3"/>
        <charset val="128"/>
      </rPr>
      <t>Testing</t>
    </r>
    <r>
      <rPr>
        <sz val="10"/>
        <color rgb="FF000000"/>
        <rFont val="Noto Sans CJK SC"/>
        <family val="2"/>
      </rPr>
      <t>：誤動作するように条件をぶつけて、バグを叩きに行く（今回は設計のみ。手動で試してから、自動化を判断する）。</t>
    </r>
  </si>
  <si>
    <t>自動化の範囲</t>
  </si>
  <si>
    <r>
      <rPr>
        <sz val="10"/>
        <color rgb="FF000000"/>
        <rFont val="Noto Sans CJK SC"/>
        <family val="2"/>
      </rPr>
      <t>・</t>
    </r>
    <r>
      <rPr>
        <sz val="10"/>
        <color rgb="FF000000"/>
        <rFont val="Meiryo UI"/>
        <family val="3"/>
        <charset val="128"/>
      </rPr>
      <t>UI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pytest/Playwright</t>
    </r>
    <r>
      <rPr>
        <sz val="10"/>
        <color rgb="FF000000"/>
        <rFont val="Noto Sans CJK SC"/>
        <family val="2"/>
      </rPr>
      <t>）：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TC-02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TC-03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TC-10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TC-15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TC-17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TC-48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TC-49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 xml:space="preserve">TC-50
</t>
    </r>
    <r>
      <rPr>
        <sz val="10"/>
        <color rgb="FF000000"/>
        <rFont val="Noto Sans CJK SC"/>
        <family val="2"/>
      </rPr>
      <t>・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Postman/Newman</t>
    </r>
    <r>
      <rPr>
        <sz val="10"/>
        <color rgb="FF000000"/>
        <rFont val="Noto Sans CJK SC"/>
        <family val="2"/>
      </rPr>
      <t>）：</t>
    </r>
    <r>
      <rPr>
        <sz val="10"/>
        <color rgb="FF000000"/>
        <rFont val="Meiryo UI"/>
        <family val="3"/>
        <charset val="128"/>
      </rPr>
      <t>6</t>
    </r>
    <r>
      <rPr>
        <sz val="10"/>
        <color rgb="FF000000"/>
        <rFont val="Noto Sans CJK SC"/>
        <family val="2"/>
      </rPr>
      <t>リクエスト（</t>
    </r>
    <r>
      <rPr>
        <sz val="10"/>
        <color rgb="FF000000"/>
        <rFont val="Meiryo UI"/>
        <family val="3"/>
        <charset val="128"/>
      </rPr>
      <t>API-01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06</t>
    </r>
    <r>
      <rPr>
        <sz val="10"/>
        <color rgb="FF000000"/>
        <rFont val="Noto Sans CJK SC"/>
        <family val="2"/>
      </rPr>
      <t>）
・非機能（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）：</t>
    </r>
    <r>
      <rPr>
        <sz val="10"/>
        <color rgb="FF000000"/>
        <rFont val="Meiryo UI"/>
        <family val="3"/>
        <charset val="128"/>
      </rPr>
      <t>TC-35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TC-37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TC-51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TC-54</t>
    </r>
    <r>
      <rPr>
        <sz val="10"/>
        <color rgb="FF000000"/>
        <rFont val="Noto Sans CJK SC"/>
        <family val="2"/>
      </rPr>
      <t>（通常負荷の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本のテストプランで確認する）
上記以外（</t>
    </r>
    <r>
      <rPr>
        <sz val="10"/>
        <color rgb="FF000000"/>
        <rFont val="Meiryo UI"/>
        <family val="3"/>
        <charset val="128"/>
      </rPr>
      <t>Testing</t>
    </r>
    <r>
      <rPr>
        <sz val="10"/>
        <color rgb="FF000000"/>
        <rFont val="Noto Sans CJK SC"/>
        <family val="2"/>
      </rPr>
      <t>、段階的負荷・ストレス・耐久・回復確認、</t>
    </r>
    <r>
      <rPr>
        <sz val="10"/>
        <color rgb="FF000000"/>
        <rFont val="Meiryo UI"/>
        <family val="3"/>
        <charset val="128"/>
      </rPr>
      <t>TC-05</t>
    </r>
    <r>
      <rPr>
        <sz val="10"/>
        <color rgb="FF000000"/>
        <rFont val="Noto Sans CJK SC"/>
        <family val="2"/>
      </rPr>
      <t>・</t>
    </r>
    <r>
      <rPr>
        <sz val="10"/>
        <color rgb="FF000000"/>
        <rFont val="Meiryo UI"/>
        <family val="3"/>
        <charset val="128"/>
      </rPr>
      <t>06</t>
    </r>
    <r>
      <rPr>
        <sz val="10"/>
        <color rgb="FF000000"/>
        <rFont val="Noto Sans CJK SC"/>
        <family val="2"/>
      </rPr>
      <t>の未ログインアクセスなど）は、設計のみ。余裕があれば追加する。自動化の判断の元は、設計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表の「自動化」列。</t>
    </r>
  </si>
  <si>
    <t>実行方法</t>
  </si>
  <si>
    <r>
      <rPr>
        <sz val="10"/>
        <color rgb="FF000000"/>
        <rFont val="Noto Sans CJK SC"/>
        <family val="2"/>
      </rPr>
      <t xml:space="preserve">ローカルで </t>
    </r>
    <r>
      <rPr>
        <sz val="10"/>
        <color rgb="FF000000"/>
        <rFont val="Meiryo UI"/>
        <family val="3"/>
        <charset val="128"/>
      </rPr>
      <t>pytest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UI</t>
    </r>
    <r>
      <rPr>
        <sz val="10"/>
        <color rgb="FF000000"/>
        <rFont val="Noto Sans CJK SC"/>
        <family val="2"/>
      </rPr>
      <t>）、</t>
    </r>
    <r>
      <rPr>
        <sz val="10"/>
        <color rgb="FF000000"/>
        <rFont val="Meiryo UI"/>
        <family val="3"/>
        <charset val="128"/>
      </rPr>
      <t>newman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）、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（非</t>
    </r>
    <r>
      <rPr>
        <sz val="10"/>
        <color rgb="FF000000"/>
        <rFont val="Meiryo UI"/>
        <family val="3"/>
        <charset val="128"/>
      </rPr>
      <t>GUI</t>
    </r>
    <r>
      <rPr>
        <sz val="10"/>
        <color rgb="FF000000"/>
        <rFont val="Noto Sans CJK SC"/>
        <family val="2"/>
      </rPr>
      <t>）を実行する。</t>
    </r>
    <r>
      <rPr>
        <sz val="10"/>
        <color rgb="FF000000"/>
        <rFont val="Meiryo UI"/>
        <family val="3"/>
        <charset val="128"/>
      </rPr>
      <t>push</t>
    </r>
    <r>
      <rPr>
        <sz val="10"/>
        <color rgb="FF000000"/>
        <rFont val="Noto Sans CJK SC"/>
        <family val="2"/>
      </rPr>
      <t>のたびに、</t>
    </r>
    <r>
      <rPr>
        <sz val="10"/>
        <color rgb="FF000000"/>
        <rFont val="Meiryo UI"/>
        <family val="3"/>
        <charset val="128"/>
      </rPr>
      <t>GitHub Actions</t>
    </r>
    <r>
      <rPr>
        <sz val="10"/>
        <color rgb="FF000000"/>
        <rFont val="Noto Sans CJK SC"/>
        <family val="2"/>
      </rPr>
      <t>で</t>
    </r>
    <r>
      <rPr>
        <sz val="10"/>
        <color rgb="FF000000"/>
        <rFont val="Meiryo UI"/>
        <family val="3"/>
        <charset val="128"/>
      </rPr>
      <t>UI</t>
    </r>
    <r>
      <rPr>
        <sz val="10"/>
        <color rgb="FF000000"/>
        <rFont val="Noto Sans CJK SC"/>
        <family val="2"/>
      </rPr>
      <t>と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のテストを自動実行する。</t>
    </r>
  </si>
  <si>
    <t>優先順位</t>
  </si>
  <si>
    <r>
      <rPr>
        <sz val="10"/>
        <color rgb="FF000000"/>
        <rFont val="Meiryo UI"/>
        <family val="3"/>
        <charset val="128"/>
      </rPr>
      <t>1. UI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Checking → 2. CI</t>
    </r>
    <r>
      <rPr>
        <sz val="10"/>
        <color rgb="FF000000"/>
        <rFont val="Noto Sans CJK SC"/>
        <family val="2"/>
      </rPr>
      <t xml:space="preserve">での自動実行 → </t>
    </r>
    <r>
      <rPr>
        <sz val="10"/>
        <color rgb="FF000000"/>
        <rFont val="Meiryo UI"/>
        <family val="3"/>
        <charset val="128"/>
      </rPr>
      <t>3. API</t>
    </r>
    <r>
      <rPr>
        <sz val="10"/>
        <color rgb="FF000000"/>
        <rFont val="Noto Sans CJK SC"/>
        <family val="2"/>
      </rPr>
      <t xml:space="preserve">テスト → </t>
    </r>
    <r>
      <rPr>
        <sz val="10"/>
        <color rgb="FF000000"/>
        <rFont val="Meiryo UI"/>
        <family val="3"/>
        <charset val="128"/>
      </rPr>
      <t>4. JMeter</t>
    </r>
    <r>
      <rPr>
        <sz val="10"/>
        <color rgb="FF000000"/>
        <rFont val="Noto Sans CJK SC"/>
        <family val="2"/>
      </rPr>
      <t xml:space="preserve">の通常負荷 → </t>
    </r>
    <r>
      <rPr>
        <sz val="10"/>
        <color rgb="FF000000"/>
        <rFont val="Meiryo UI"/>
        <family val="3"/>
        <charset val="128"/>
      </rPr>
      <t>5. Testing</t>
    </r>
    <r>
      <rPr>
        <sz val="10"/>
        <color rgb="FF000000"/>
        <rFont val="Noto Sans CJK SC"/>
        <family val="2"/>
      </rPr>
      <t>の自動化（余裕があれば）</t>
    </r>
  </si>
  <si>
    <r>
      <rPr>
        <b/>
        <sz val="10"/>
        <color rgb="FF000000"/>
        <rFont val="Meiryo UI"/>
        <family val="3"/>
        <charset val="128"/>
      </rPr>
      <t xml:space="preserve">5. </t>
    </r>
    <r>
      <rPr>
        <b/>
        <sz val="10"/>
        <color rgb="FF000000"/>
        <rFont val="Noto Sans CJK SC"/>
        <family val="2"/>
      </rPr>
      <t>テスト環境・ツール</t>
    </r>
  </si>
  <si>
    <r>
      <rPr>
        <b/>
        <sz val="10"/>
        <color rgb="FF000000"/>
        <rFont val="Noto Sans CJK SC"/>
        <family val="2"/>
      </rPr>
      <t>開発</t>
    </r>
    <r>
      <rPr>
        <b/>
        <sz val="10"/>
        <color rgb="FF000000"/>
        <rFont val="Meiryo UI"/>
        <family val="3"/>
        <charset val="128"/>
      </rPr>
      <t>PC</t>
    </r>
  </si>
  <si>
    <r>
      <rPr>
        <sz val="10"/>
        <color rgb="FF000000"/>
        <rFont val="Meiryo UI"/>
        <family val="3"/>
        <charset val="128"/>
      </rPr>
      <t>Windows</t>
    </r>
    <r>
      <rPr>
        <sz val="10"/>
        <color rgb="FF000000"/>
        <rFont val="Noto Sans CJK SC"/>
        <family val="2"/>
      </rPr>
      <t>。</t>
    </r>
    <r>
      <rPr>
        <sz val="10"/>
        <color rgb="FF000000"/>
        <rFont val="Meiryo UI"/>
        <family val="3"/>
        <charset val="128"/>
      </rPr>
      <t>Python 3.12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64bit</t>
    </r>
    <r>
      <rPr>
        <sz val="10"/>
        <color rgb="FF000000"/>
        <rFont val="Noto Sans CJK SC"/>
        <family val="2"/>
      </rPr>
      <t>・推奨）、</t>
    </r>
    <r>
      <rPr>
        <sz val="10"/>
        <color rgb="FF000000"/>
        <rFont val="Meiryo UI"/>
        <family val="3"/>
        <charset val="128"/>
      </rPr>
      <t>Git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Node.js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Java</t>
    </r>
    <r>
      <rPr>
        <sz val="10"/>
        <color rgb="FF000000"/>
        <rFont val="Noto Sans CJK SC"/>
        <family val="2"/>
      </rPr>
      <t>が必要）。プロジェクトは、日本語を含まないパス・</t>
    </r>
    <r>
      <rPr>
        <sz val="10"/>
        <color rgb="FF000000"/>
        <rFont val="Meiryo UI"/>
        <family val="3"/>
        <charset val="128"/>
      </rPr>
      <t>OneDrive</t>
    </r>
    <r>
      <rPr>
        <sz val="10"/>
        <color rgb="FF000000"/>
        <rFont val="Noto Sans CJK SC"/>
        <family val="2"/>
      </rPr>
      <t>外に置くのが安全。</t>
    </r>
  </si>
  <si>
    <t>ブラウザ</t>
  </si>
  <si>
    <r>
      <rPr>
        <sz val="10"/>
        <color rgb="FF000000"/>
        <rFont val="Meiryo UI"/>
        <family val="3"/>
        <charset val="128"/>
      </rPr>
      <t>Chromium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Playwright</t>
    </r>
    <r>
      <rPr>
        <sz val="10"/>
        <color rgb="FF000000"/>
        <rFont val="Noto Sans CJK SC"/>
        <family val="2"/>
      </rPr>
      <t>）</t>
    </r>
  </si>
  <si>
    <t>CI</t>
  </si>
  <si>
    <r>
      <rPr>
        <sz val="10"/>
        <color rgb="FF000000"/>
        <rFont val="Meiryo UI"/>
        <family val="3"/>
        <charset val="128"/>
      </rPr>
      <t>GitHub Actions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ubuntu-latest</t>
    </r>
    <r>
      <rPr>
        <sz val="10"/>
        <color rgb="FF000000"/>
        <rFont val="Noto Sans CJK SC"/>
        <family val="2"/>
      </rPr>
      <t>）</t>
    </r>
  </si>
  <si>
    <t>ツール</t>
  </si>
  <si>
    <r>
      <rPr>
        <sz val="10"/>
        <color rgb="FF000000"/>
        <rFont val="Meiryo UI"/>
        <family val="3"/>
        <charset val="128"/>
      </rPr>
      <t>Playwright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Python</t>
    </r>
    <r>
      <rPr>
        <sz val="10"/>
        <color rgb="FF000000"/>
        <rFont val="Noto Sans CJK SC"/>
        <family val="2"/>
      </rPr>
      <t>）＋</t>
    </r>
    <r>
      <rPr>
        <sz val="10"/>
        <color rgb="FF000000"/>
        <rFont val="Meiryo UI"/>
        <family val="3"/>
        <charset val="128"/>
      </rPr>
      <t xml:space="preserve">pytest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Meiryo UI"/>
        <family val="3"/>
        <charset val="128"/>
      </rPr>
      <t>Postman</t>
    </r>
    <r>
      <rPr>
        <sz val="10"/>
        <color rgb="FF000000"/>
        <rFont val="Noto Sans CJK SC"/>
        <family val="2"/>
      </rPr>
      <t>＋</t>
    </r>
    <r>
      <rPr>
        <sz val="10"/>
        <color rgb="FF000000"/>
        <rFont val="Meiryo UI"/>
        <family val="3"/>
        <charset val="128"/>
      </rPr>
      <t xml:space="preserve">Newman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Meiryo UI"/>
        <family val="3"/>
        <charset val="128"/>
      </rPr>
      <t xml:space="preserve">JMeter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Meiryo UI"/>
        <family val="3"/>
        <charset val="128"/>
      </rPr>
      <t xml:space="preserve">GitHub Actions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Meiryo UI"/>
        <family val="3"/>
        <charset val="128"/>
      </rPr>
      <t>Git</t>
    </r>
    <r>
      <rPr>
        <sz val="10"/>
        <color rgb="FF000000"/>
        <rFont val="Noto Sans CJK SC"/>
        <family val="2"/>
      </rPr>
      <t>・</t>
    </r>
    <r>
      <rPr>
        <sz val="10"/>
        <color rgb="FF000000"/>
        <rFont val="Meiryo UI"/>
        <family val="3"/>
        <charset val="128"/>
      </rPr>
      <t>GitHub</t>
    </r>
  </si>
  <si>
    <t>テストデータ</t>
  </si>
  <si>
    <r>
      <rPr>
        <sz val="10"/>
        <color rgb="FF000000"/>
        <rFont val="Meiryo UI"/>
        <family val="3"/>
        <charset val="128"/>
      </rPr>
      <t>SauceDemo</t>
    </r>
    <r>
      <rPr>
        <sz val="10"/>
        <color rgb="FF000000"/>
        <rFont val="Noto Sans CJK SC"/>
        <family val="2"/>
      </rPr>
      <t>の公開テストユーザー（</t>
    </r>
    <r>
      <rPr>
        <sz val="10"/>
        <color rgb="FF000000"/>
        <rFont val="Meiryo UI"/>
        <family val="3"/>
        <charset val="128"/>
      </rPr>
      <t>standard_user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locked_out_user</t>
    </r>
    <r>
      <rPr>
        <sz val="10"/>
        <color rgb="FF000000"/>
        <rFont val="Noto Sans CJK SC"/>
        <family val="2"/>
      </rPr>
      <t>。パスワードは、サイト上に公開されているもの）。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は、ダミーのユーザー（</t>
    </r>
    <r>
      <rPr>
        <sz val="10"/>
        <color rgb="FF000000"/>
        <rFont val="Meiryo UI"/>
        <family val="3"/>
        <charset val="128"/>
      </rPr>
      <t>jmeter/data/users.csv</t>
    </r>
    <r>
      <rPr>
        <sz val="10"/>
        <color rgb="FF000000"/>
        <rFont val="Noto Sans CJK SC"/>
        <family val="2"/>
      </rPr>
      <t>）。実在の個人情報は使わない。</t>
    </r>
  </si>
  <si>
    <r>
      <rPr>
        <b/>
        <sz val="10"/>
        <color rgb="FF000000"/>
        <rFont val="Meiryo UI"/>
        <family val="3"/>
        <charset val="128"/>
      </rPr>
      <t xml:space="preserve">6. </t>
    </r>
    <r>
      <rPr>
        <b/>
        <sz val="10"/>
        <color rgb="FF000000"/>
        <rFont val="Noto Sans CJK SC"/>
        <family val="2"/>
      </rPr>
      <t>成果物</t>
    </r>
  </si>
  <si>
    <r>
      <rPr>
        <sz val="10"/>
        <color rgb="FF000000"/>
        <rFont val="Noto Sans CJK SC"/>
        <family val="2"/>
      </rPr>
      <t>テスト設計の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（要求分析、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表、テストマップ、テストケース）</t>
    </r>
  </si>
  <si>
    <t>テストコード</t>
  </si>
  <si>
    <r>
      <rPr>
        <sz val="10"/>
        <color rgb="FF000000"/>
        <rFont val="Meiryo UI"/>
        <family val="3"/>
        <charset val="128"/>
      </rPr>
      <t>tests/ui/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Playwright</t>
    </r>
    <r>
      <rPr>
        <sz val="10"/>
        <color rgb="FF000000"/>
        <rFont val="Noto Sans CJK SC"/>
        <family val="2"/>
      </rPr>
      <t>）、</t>
    </r>
    <r>
      <rPr>
        <sz val="10"/>
        <color rgb="FF000000"/>
        <rFont val="Meiryo UI"/>
        <family val="3"/>
        <charset val="128"/>
      </rPr>
      <t>pages/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Page Object</t>
    </r>
    <r>
      <rPr>
        <sz val="10"/>
        <color rgb="FF000000"/>
        <rFont val="Noto Sans CJK SC"/>
        <family val="2"/>
      </rPr>
      <t>）、</t>
    </r>
    <r>
      <rPr>
        <sz val="10"/>
        <color rgb="FF000000"/>
        <rFont val="Meiryo UI"/>
        <family val="3"/>
        <charset val="128"/>
      </rPr>
      <t>tests/api/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Postman</t>
    </r>
    <r>
      <rPr>
        <sz val="10"/>
        <color rgb="FF000000"/>
        <rFont val="Noto Sans CJK SC"/>
        <family val="2"/>
      </rPr>
      <t>コレクション）、</t>
    </r>
    <r>
      <rPr>
        <sz val="10"/>
        <color rgb="FF000000"/>
        <rFont val="Meiryo UI"/>
        <family val="3"/>
        <charset val="128"/>
      </rPr>
      <t>jmeter/</t>
    </r>
    <r>
      <rPr>
        <sz val="10"/>
        <color rgb="FF000000"/>
        <rFont val="Noto Sans CJK SC"/>
        <family val="2"/>
      </rPr>
      <t>（テストプラン。準備中）</t>
    </r>
  </si>
  <si>
    <t>実行結果</t>
  </si>
  <si>
    <r>
      <rPr>
        <sz val="10"/>
        <color rgb="FF000000"/>
        <rFont val="Meiryo UI"/>
        <family val="3"/>
        <charset val="128"/>
      </rPr>
      <t>pytest</t>
    </r>
    <r>
      <rPr>
        <sz val="10"/>
        <color rgb="FF000000"/>
        <rFont val="Noto Sans CJK SC"/>
        <family val="2"/>
      </rPr>
      <t>の結果、失敗時のスクリーンショット・トレース（</t>
    </r>
    <r>
      <rPr>
        <sz val="10"/>
        <color rgb="FF000000"/>
        <rFont val="Meiryo UI"/>
        <family val="3"/>
        <charset val="128"/>
      </rPr>
      <t>test-results/</t>
    </r>
    <r>
      <rPr>
        <sz val="10"/>
        <color rgb="FF000000"/>
        <rFont val="Noto Sans CJK SC"/>
        <family val="2"/>
      </rPr>
      <t>）、</t>
    </r>
    <r>
      <rPr>
        <sz val="10"/>
        <color rgb="FF000000"/>
        <rFont val="Meiryo UI"/>
        <family val="3"/>
        <charset val="128"/>
      </rPr>
      <t>GitHub Actions</t>
    </r>
    <r>
      <rPr>
        <sz val="10"/>
        <color rgb="FF000000"/>
        <rFont val="Noto Sans CJK SC"/>
        <family val="2"/>
      </rPr>
      <t>の実行結果、</t>
    </r>
    <r>
      <rPr>
        <sz val="10"/>
        <color rgb="FF000000"/>
        <rFont val="Meiryo UI"/>
        <family val="3"/>
        <charset val="128"/>
      </rPr>
      <t>JMeter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HTML</t>
    </r>
    <r>
      <rPr>
        <sz val="10"/>
        <color rgb="FF000000"/>
        <rFont val="Noto Sans CJK SC"/>
        <family val="2"/>
      </rPr>
      <t>レポート</t>
    </r>
  </si>
  <si>
    <t>README</t>
  </si>
  <si>
    <t>概要、実行方法、設計へのリンク</t>
  </si>
  <si>
    <r>
      <rPr>
        <b/>
        <sz val="10"/>
        <color rgb="FF000000"/>
        <rFont val="Noto Sans CJK SC"/>
        <family val="2"/>
      </rPr>
      <t>この</t>
    </r>
    <r>
      <rPr>
        <b/>
        <sz val="10"/>
        <color rgb="FF000000"/>
        <rFont val="Meiryo UI"/>
        <family val="3"/>
        <charset val="128"/>
      </rPr>
      <t>Excel</t>
    </r>
  </si>
  <si>
    <t>テスト計画書、進捗サマリ、テスト実施記録、スケジュール、リスク、不具合・気づき</t>
  </si>
  <si>
    <r>
      <rPr>
        <b/>
        <sz val="10"/>
        <color rgb="FF000000"/>
        <rFont val="Meiryo UI"/>
        <family val="3"/>
        <charset val="128"/>
      </rPr>
      <t xml:space="preserve">7. </t>
    </r>
    <r>
      <rPr>
        <b/>
        <sz val="10"/>
        <color rgb="FF000000"/>
        <rFont val="Noto Sans CJK SC"/>
        <family val="2"/>
      </rPr>
      <t>入口基準・終了基準</t>
    </r>
  </si>
  <si>
    <t>入口基準</t>
  </si>
  <si>
    <r>
      <rPr>
        <sz val="10"/>
        <color rgb="FF000000"/>
        <rFont val="Noto Sans CJK SC"/>
        <family val="2"/>
      </rPr>
      <t>・設計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（要求分析・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表・テストマップ・テストケース）が作成済み
・テスト環境（</t>
    </r>
    <r>
      <rPr>
        <sz val="10"/>
        <color rgb="FF000000"/>
        <rFont val="Meiryo UI"/>
        <family val="3"/>
        <charset val="128"/>
      </rPr>
      <t>Python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Playwright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Node.js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Newman</t>
    </r>
    <r>
      <rPr>
        <sz val="10"/>
        <color rgb="FF000000"/>
        <rFont val="Noto Sans CJK SC"/>
        <family val="2"/>
      </rPr>
      <t>）が使える
・実施する項目の「要確認」を、手動で確認済み</t>
    </r>
  </si>
  <si>
    <t>終了基準</t>
  </si>
  <si>
    <r>
      <rPr>
        <sz val="10"/>
        <color rgb="FF000000"/>
        <rFont val="Noto Sans CJK SC"/>
        <family val="2"/>
      </rPr>
      <t>・自動化対象の項目が、すべて実施されて合格している
・不合格が残る場合は、原因と対応を記録している
・</t>
    </r>
    <r>
      <rPr>
        <sz val="10"/>
        <color rgb="FF000000"/>
        <rFont val="Meiryo UI"/>
        <family val="3"/>
        <charset val="128"/>
      </rPr>
      <t>GitHub Actions</t>
    </r>
    <r>
      <rPr>
        <sz val="10"/>
        <color rgb="FF000000"/>
        <rFont val="Noto Sans CJK SC"/>
        <family val="2"/>
      </rPr>
      <t>が緑になっている
・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に、実行方法と結果が書かれている</t>
    </r>
  </si>
  <si>
    <t>判定</t>
  </si>
  <si>
    <t>「進捗サマリ」シートの「終了基準の判定（自動化対象がすべて合格）」を参照。</t>
  </si>
  <si>
    <r>
      <rPr>
        <b/>
        <sz val="10"/>
        <color rgb="FF000000"/>
        <rFont val="Meiryo UI"/>
        <family val="3"/>
        <charset val="128"/>
      </rPr>
      <t xml:space="preserve">8. </t>
    </r>
    <r>
      <rPr>
        <b/>
        <sz val="10"/>
        <color rgb="FF000000"/>
        <rFont val="Noto Sans CJK SC"/>
        <family val="2"/>
      </rPr>
      <t>不具合・気づきの扱い</t>
    </r>
  </si>
  <si>
    <t>扱い</t>
  </si>
  <si>
    <t>テスト対象は第三者のデモサイトなので、「仕様の推定と違う挙動」は、不具合として報告するのではなく、「不具合・気づき」シートに記録する。内容に応じて、設計の修正／テストコードの修正／不具合として記録、のいずれかで対応する。</t>
  </si>
  <si>
    <t>記録先</t>
  </si>
  <si>
    <t>「不具合・気づき」シート</t>
  </si>
  <si>
    <t>進捗サマリ（自動集計）</t>
  </si>
  <si>
    <t>「テスト実施記録」シートの「結果」列を更新すると、自動で集計される。</t>
  </si>
  <si>
    <t>区分</t>
  </si>
  <si>
    <t>全項目数</t>
  </si>
  <si>
    <t>自動化対象</t>
  </si>
  <si>
    <t>合格</t>
  </si>
  <si>
    <t>不合格</t>
  </si>
  <si>
    <t>保留</t>
  </si>
  <si>
    <t>未実施</t>
  </si>
  <si>
    <t>合格率（自動化対象）</t>
  </si>
  <si>
    <t>機能性</t>
  </si>
  <si>
    <t>非機能</t>
  </si>
  <si>
    <t>合計</t>
  </si>
  <si>
    <t>重要度</t>
  </si>
  <si>
    <t>A</t>
  </si>
  <si>
    <t>B</t>
  </si>
  <si>
    <t>C</t>
  </si>
  <si>
    <r>
      <rPr>
        <b/>
        <sz val="10"/>
        <color rgb="FF000000"/>
        <rFont val="Noto Sans CJK SC"/>
        <family val="2"/>
      </rPr>
      <t>－（</t>
    </r>
    <r>
      <rPr>
        <b/>
        <sz val="10"/>
        <color rgb="FF000000"/>
        <rFont val="Meiryo UI"/>
        <family val="3"/>
        <charset val="128"/>
      </rPr>
      <t>API</t>
    </r>
    <r>
      <rPr>
        <b/>
        <sz val="10"/>
        <color rgb="FF000000"/>
        <rFont val="Noto Sans CJK SC"/>
        <family val="2"/>
      </rPr>
      <t>）</t>
    </r>
  </si>
  <si>
    <t>終了基準の判定（自動化対象がすべて合格）</t>
  </si>
  <si>
    <t>補足</t>
  </si>
  <si>
    <r>
      <rPr>
        <sz val="10"/>
        <color rgb="FF595959"/>
        <rFont val="Noto Sans CJK SC"/>
        <family val="2"/>
      </rPr>
      <t>・終了基準の全体は、「計画書」の「</t>
    </r>
    <r>
      <rPr>
        <sz val="10"/>
        <color rgb="FF595959"/>
        <rFont val="Meiryo UI"/>
        <family val="3"/>
        <charset val="128"/>
      </rPr>
      <t xml:space="preserve">7. </t>
    </r>
    <r>
      <rPr>
        <sz val="10"/>
        <color rgb="FF595959"/>
        <rFont val="Noto Sans CJK SC"/>
        <family val="2"/>
      </rPr>
      <t>入口基準・終了基準」を参照（</t>
    </r>
    <r>
      <rPr>
        <sz val="10"/>
        <color rgb="FF595959"/>
        <rFont val="Meiryo UI"/>
        <family val="3"/>
        <charset val="128"/>
      </rPr>
      <t>GitHub Actions</t>
    </r>
    <r>
      <rPr>
        <sz val="10"/>
        <color rgb="FF595959"/>
        <rFont val="Noto Sans CJK SC"/>
        <family val="2"/>
      </rPr>
      <t>が緑、</t>
    </r>
    <r>
      <rPr>
        <sz val="10"/>
        <color rgb="FF595959"/>
        <rFont val="Meiryo UI"/>
        <family val="3"/>
        <charset val="128"/>
      </rPr>
      <t>README</t>
    </r>
    <r>
      <rPr>
        <sz val="10"/>
        <color rgb="FF595959"/>
        <rFont val="Noto Sans CJK SC"/>
        <family val="2"/>
      </rPr>
      <t>の記載なども含む）。</t>
    </r>
  </si>
  <si>
    <t>・「保留」は、自動化対象だが、今回は見送った項目に使う。保留が残っている間は、「未達」になる。</t>
  </si>
  <si>
    <r>
      <rPr>
        <sz val="10"/>
        <color rgb="FF595959"/>
        <rFont val="Noto Sans CJK SC"/>
        <family val="2"/>
      </rPr>
      <t>・設計のみの項目（</t>
    </r>
    <r>
      <rPr>
        <sz val="10"/>
        <color rgb="FF595959"/>
        <rFont val="Meiryo UI"/>
        <family val="3"/>
        <charset val="128"/>
      </rPr>
      <t>Testing</t>
    </r>
    <r>
      <rPr>
        <sz val="10"/>
        <color rgb="FF595959"/>
        <rFont val="Noto Sans CJK SC"/>
        <family val="2"/>
      </rPr>
      <t>など）は、実施対象に含めない。</t>
    </r>
  </si>
  <si>
    <t>テスト実施記録</t>
  </si>
  <si>
    <r>
      <rPr>
        <sz val="10"/>
        <color rgb="FF595959"/>
        <rFont val="Noto Sans CJK SC"/>
        <family val="2"/>
      </rPr>
      <t>設計</t>
    </r>
    <r>
      <rPr>
        <sz val="10"/>
        <color rgb="FF595959"/>
        <rFont val="Meiryo UI"/>
        <family val="3"/>
        <charset val="128"/>
      </rPr>
      <t>Excel</t>
    </r>
    <r>
      <rPr>
        <sz val="10"/>
        <color rgb="FF595959"/>
        <rFont val="Noto Sans CJK SC"/>
        <family val="2"/>
      </rPr>
      <t>のテストケース（</t>
    </r>
    <r>
      <rPr>
        <sz val="10"/>
        <color rgb="FF595959"/>
        <rFont val="Meiryo UI"/>
        <family val="3"/>
        <charset val="128"/>
      </rPr>
      <t>TC-01</t>
    </r>
    <r>
      <rPr>
        <sz val="10"/>
        <color rgb="FF595959"/>
        <rFont val="Noto Sans CJK SC"/>
        <family val="2"/>
      </rPr>
      <t>〜）と、</t>
    </r>
    <r>
      <rPr>
        <sz val="10"/>
        <color rgb="FF595959"/>
        <rFont val="Meiryo UI"/>
        <family val="3"/>
        <charset val="128"/>
      </rPr>
      <t>API</t>
    </r>
    <r>
      <rPr>
        <sz val="10"/>
        <color rgb="FF595959"/>
        <rFont val="Noto Sans CJK SC"/>
        <family val="2"/>
      </rPr>
      <t>テスト（</t>
    </r>
    <r>
      <rPr>
        <sz val="10"/>
        <color rgb="FF595959"/>
        <rFont val="Meiryo UI"/>
        <family val="3"/>
        <charset val="128"/>
      </rPr>
      <t>API-01</t>
    </r>
    <r>
      <rPr>
        <sz val="10"/>
        <color rgb="FF595959"/>
        <rFont val="Noto Sans CJK SC"/>
        <family val="2"/>
      </rPr>
      <t>〜</t>
    </r>
    <r>
      <rPr>
        <sz val="10"/>
        <color rgb="FF595959"/>
        <rFont val="Meiryo UI"/>
        <family val="3"/>
        <charset val="128"/>
      </rPr>
      <t>06</t>
    </r>
    <r>
      <rPr>
        <sz val="10"/>
        <color rgb="FF595959"/>
        <rFont val="Noto Sans CJK SC"/>
        <family val="2"/>
      </rPr>
      <t>）の一覧。「実施区分」が「自動化（今回）」のものが、今回の実施対象。「結果」「実施日」「備考」は、黄色のセルに入力する。</t>
    </r>
  </si>
  <si>
    <r>
      <rPr>
        <sz val="10"/>
        <color rgb="FF595959"/>
        <rFont val="Noto Sans CJK SC"/>
        <family val="2"/>
      </rPr>
      <t>実施区分は、設計</t>
    </r>
    <r>
      <rPr>
        <sz val="10"/>
        <color rgb="FF595959"/>
        <rFont val="Meiryo UI"/>
        <family val="3"/>
        <charset val="128"/>
      </rPr>
      <t>Excel</t>
    </r>
    <r>
      <rPr>
        <sz val="10"/>
        <color rgb="FF595959"/>
        <rFont val="Noto Sans CJK SC"/>
        <family val="2"/>
      </rPr>
      <t>の</t>
    </r>
    <r>
      <rPr>
        <sz val="10"/>
        <color rgb="FF595959"/>
        <rFont val="Meiryo UI"/>
        <family val="3"/>
        <charset val="128"/>
      </rPr>
      <t>FV</t>
    </r>
    <r>
      <rPr>
        <sz val="10"/>
        <color rgb="FF595959"/>
        <rFont val="Noto Sans CJK SC"/>
        <family val="2"/>
      </rPr>
      <t>表の「自動化」列から決めた。テスト手順・期待結果は、設計</t>
    </r>
    <r>
      <rPr>
        <sz val="10"/>
        <color rgb="FF595959"/>
        <rFont val="Meiryo UI"/>
        <family val="3"/>
        <charset val="128"/>
      </rPr>
      <t>Excel</t>
    </r>
    <r>
      <rPr>
        <sz val="10"/>
        <color rgb="FF595959"/>
        <rFont val="Noto Sans CJK SC"/>
        <family val="2"/>
      </rPr>
      <t>のテストケースシートを参照。</t>
    </r>
  </si>
  <si>
    <t>No</t>
  </si>
  <si>
    <r>
      <rPr>
        <b/>
        <sz val="10"/>
        <color rgb="FFFFFFFF"/>
        <rFont val="Noto Sans CJK SC"/>
        <family val="2"/>
      </rPr>
      <t>テスト</t>
    </r>
    <r>
      <rPr>
        <b/>
        <sz val="10"/>
        <color rgb="FFFFFFFF"/>
        <rFont val="Meiryo UI"/>
        <family val="3"/>
        <charset val="128"/>
      </rPr>
      <t>ID</t>
    </r>
  </si>
  <si>
    <t>機能</t>
  </si>
  <si>
    <t>観点</t>
  </si>
  <si>
    <t>テスト内容</t>
  </si>
  <si>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Meiryo UI"/>
        <family val="3"/>
        <charset val="128"/>
      </rPr>
      <t>FV/NF</t>
    </r>
  </si>
  <si>
    <t>実施区分</t>
  </si>
  <si>
    <t>結果</t>
  </si>
  <si>
    <t>実施日</t>
  </si>
  <si>
    <t>備考</t>
  </si>
  <si>
    <t>TC-01</t>
  </si>
  <si>
    <t>ログイン</t>
  </si>
  <si>
    <t>基本動作</t>
  </si>
  <si>
    <t>正しいユーザー名＋パスワードでログインできる</t>
  </si>
  <si>
    <t>FV-09</t>
  </si>
  <si>
    <t>自動化（今回）</t>
  </si>
  <si>
    <t>pytest / Playwright</t>
  </si>
  <si>
    <t>TC-02</t>
  </si>
  <si>
    <t>エラー表示</t>
  </si>
  <si>
    <t>誤ったパスワードでログインできない</t>
  </si>
  <si>
    <t>FV-01</t>
  </si>
  <si>
    <t>TC-03</t>
  </si>
  <si>
    <t>ロックされたユーザーでログインできない</t>
  </si>
  <si>
    <t>FV-02</t>
  </si>
  <si>
    <t>TC-04</t>
  </si>
  <si>
    <t>画面遷移</t>
  </si>
  <si>
    <t>ログイン後に商品一覧へ遷移する</t>
  </si>
  <si>
    <t>設計のみ</t>
  </si>
  <si>
    <t>－</t>
  </si>
  <si>
    <t>TC-05</t>
  </si>
  <si>
    <t>未ログインアクセス</t>
  </si>
  <si>
    <r>
      <rPr>
        <sz val="10"/>
        <color rgb="FF000000"/>
        <rFont val="Meiryo UI"/>
        <family val="3"/>
        <charset val="128"/>
      </rPr>
      <t>URL</t>
    </r>
    <r>
      <rPr>
        <sz val="10"/>
        <color rgb="FF000000"/>
        <rFont val="Noto Sans CJK SC"/>
        <family val="2"/>
      </rPr>
      <t>直接</t>
    </r>
  </si>
  <si>
    <t>未ログインで商品一覧へアクセス</t>
  </si>
  <si>
    <t>FV-04</t>
  </si>
  <si>
    <t>次フェーズ</t>
  </si>
  <si>
    <t>TC-06</t>
  </si>
  <si>
    <t>未ログインでカート・購入画面へアクセス</t>
  </si>
  <si>
    <t>TC-07</t>
  </si>
  <si>
    <t>購入（名）</t>
  </si>
  <si>
    <t>入力値</t>
  </si>
  <si>
    <t>名が未入力の場合、購入不可</t>
  </si>
  <si>
    <t>FV-05</t>
  </si>
  <si>
    <t>TC-08</t>
  </si>
  <si>
    <t>購入（姓）</t>
  </si>
  <si>
    <t>姓が未入力の場合、購入不可</t>
  </si>
  <si>
    <t>FV-06</t>
  </si>
  <si>
    <t>TC-09</t>
  </si>
  <si>
    <t>購入（郵便番号）</t>
  </si>
  <si>
    <t>郵便番号が未入力の場合、購入不可</t>
  </si>
  <si>
    <t>FV-07</t>
  </si>
  <si>
    <t>TC-10</t>
  </si>
  <si>
    <t>購入</t>
  </si>
  <si>
    <t>購入が完了する</t>
  </si>
  <si>
    <t>FV-16</t>
  </si>
  <si>
    <t>TC-11</t>
  </si>
  <si>
    <t>状態保持</t>
  </si>
  <si>
    <t>購入後カートが空になる</t>
  </si>
  <si>
    <t>TC-12</t>
  </si>
  <si>
    <t>金額表示</t>
  </si>
  <si>
    <t>表示内容</t>
  </si>
  <si>
    <t>小計が正しい</t>
  </si>
  <si>
    <t>FV-08</t>
  </si>
  <si>
    <t>TC-13</t>
  </si>
  <si>
    <t>税額が正しい</t>
  </si>
  <si>
    <t>TC-14</t>
  </si>
  <si>
    <t>合計が正しい</t>
  </si>
  <si>
    <t>TC-15</t>
  </si>
  <si>
    <t>商品一覧</t>
  </si>
  <si>
    <t>商品一覧が正しく表示される</t>
  </si>
  <si>
    <t>FV-13</t>
  </si>
  <si>
    <t>TC-16</t>
  </si>
  <si>
    <t>商品名・価格・追加ボタンが表示される</t>
  </si>
  <si>
    <t>TC-17</t>
  </si>
  <si>
    <t>カート追加</t>
  </si>
  <si>
    <t>商品追加でバッジ件数が増える</t>
  </si>
  <si>
    <t>FV-14</t>
  </si>
  <si>
    <t>TC-18</t>
  </si>
  <si>
    <r>
      <rPr>
        <sz val="10"/>
        <color rgb="FF000000"/>
        <rFont val="Noto Sans CJK SC"/>
        <family val="2"/>
      </rPr>
      <t>追加後ボタンが</t>
    </r>
    <r>
      <rPr>
        <sz val="10"/>
        <color rgb="FF000000"/>
        <rFont val="Meiryo UI"/>
        <family val="3"/>
        <charset val="128"/>
      </rPr>
      <t>Remove</t>
    </r>
    <r>
      <rPr>
        <sz val="10"/>
        <color rgb="FF000000"/>
        <rFont val="Noto Sans CJK SC"/>
        <family val="2"/>
      </rPr>
      <t>に変わる</t>
    </r>
  </si>
  <si>
    <t>TC-19</t>
  </si>
  <si>
    <t>組み合わせ</t>
  </si>
  <si>
    <t>複数商品追加時も件数が正しい</t>
  </si>
  <si>
    <t>TC-20</t>
  </si>
  <si>
    <t>カート削除</t>
  </si>
  <si>
    <r>
      <rPr>
        <sz val="10"/>
        <color rgb="FF000000"/>
        <rFont val="Meiryo UI"/>
        <family val="3"/>
        <charset val="128"/>
      </rPr>
      <t>Remove</t>
    </r>
    <r>
      <rPr>
        <sz val="10"/>
        <color rgb="FF000000"/>
        <rFont val="Noto Sans CJK SC"/>
        <family val="2"/>
      </rPr>
      <t>ボタンで件数が減る</t>
    </r>
  </si>
  <si>
    <t>FV-15</t>
  </si>
  <si>
    <t>TC-21</t>
  </si>
  <si>
    <t>全削除でバッジが消える</t>
  </si>
  <si>
    <t>TC-22</t>
  </si>
  <si>
    <t>ログイン失敗後に成功する</t>
  </si>
  <si>
    <t>TC-23</t>
  </si>
  <si>
    <t>ログアウト後に再ログインできる</t>
  </si>
  <si>
    <t>FV-12</t>
  </si>
  <si>
    <t>将来</t>
  </si>
  <si>
    <t>TC-24</t>
  </si>
  <si>
    <t>ログイン後に更新しても状態保持</t>
  </si>
  <si>
    <t>TC-25</t>
  </si>
  <si>
    <t>商品詳細から戻っても一覧が正しい</t>
  </si>
  <si>
    <t>TC-26</t>
  </si>
  <si>
    <t>繰り返し</t>
  </si>
  <si>
    <t>ページ更新しても表示が崩れない</t>
  </si>
  <si>
    <t>TC-27</t>
  </si>
  <si>
    <t>同じ商品を連続追加しても件数が正しい</t>
  </si>
  <si>
    <t>TC-28</t>
  </si>
  <si>
    <t>追加→削除を繰り返しても件数が正しい</t>
  </si>
  <si>
    <t>TC-29</t>
  </si>
  <si>
    <t>購入取消し</t>
  </si>
  <si>
    <t>取消しでカートに戻る</t>
  </si>
  <si>
    <t>FV-17</t>
  </si>
  <si>
    <t>TC-30</t>
  </si>
  <si>
    <t>取消し後もカートが保持される</t>
  </si>
  <si>
    <t>TC-31</t>
  </si>
  <si>
    <t>並び替え</t>
  </si>
  <si>
    <t>名前昇順・降順で並び替わる</t>
  </si>
  <si>
    <t>FV-18</t>
  </si>
  <si>
    <t>TC-32</t>
  </si>
  <si>
    <t>価格昇順・降順で並び替わる</t>
  </si>
  <si>
    <t>TC-33</t>
  </si>
  <si>
    <t>商品詳細</t>
  </si>
  <si>
    <t>商品名クリックで詳細画面へ遷移</t>
  </si>
  <si>
    <t>FV-19</t>
  </si>
  <si>
    <t>TC-34</t>
  </si>
  <si>
    <t>詳細画面に情報が表示される</t>
  </si>
  <si>
    <t>TC-35</t>
  </si>
  <si>
    <t>性能</t>
  </si>
  <si>
    <t>NF</t>
  </si>
  <si>
    <t>ログイン応答時間が閾値内</t>
  </si>
  <si>
    <t>NF-01</t>
  </si>
  <si>
    <t>JMeter</t>
  </si>
  <si>
    <t>TC-36</t>
  </si>
  <si>
    <t>商品一覧応答時間が閾値内</t>
  </si>
  <si>
    <t>NF-06</t>
  </si>
  <si>
    <t>TC-37</t>
  </si>
  <si>
    <t>カート追加応答時間が閾値内</t>
  </si>
  <si>
    <t>NF-07</t>
  </si>
  <si>
    <t>TC-38</t>
  </si>
  <si>
    <t>負荷</t>
  </si>
  <si>
    <r>
      <rPr>
        <sz val="10"/>
        <color rgb="FF000000"/>
        <rFont val="Meiryo UI"/>
        <family val="3"/>
        <charset val="128"/>
      </rPr>
      <t>10</t>
    </r>
    <r>
      <rPr>
        <sz val="10"/>
        <color rgb="FF000000"/>
        <rFont val="Noto Sans CJK SC"/>
        <family val="2"/>
      </rPr>
      <t>ユーザー同時利用でエラーなく完了</t>
    </r>
  </si>
  <si>
    <t>NF-08</t>
  </si>
  <si>
    <t>TC-39</t>
  </si>
  <si>
    <t>ストレス</t>
  </si>
  <si>
    <t>限界人数で応答時間・エラー率が閾値超過</t>
  </si>
  <si>
    <t>NF-10</t>
  </si>
  <si>
    <t>TC-40</t>
  </si>
  <si>
    <t>名前前後に空白でログイン不可</t>
  </si>
  <si>
    <t>FV-03</t>
  </si>
  <si>
    <t>TC-41</t>
  </si>
  <si>
    <t>大文字小文字違いでログイン不可</t>
  </si>
  <si>
    <t>TC-42</t>
  </si>
  <si>
    <t>検索語を変えても応答が極端に悪化しない</t>
  </si>
  <si>
    <t>TC-43</t>
  </si>
  <si>
    <t>短時間連続追加でも応答が悪化しない</t>
  </si>
  <si>
    <t>TC-44</t>
  </si>
  <si>
    <t>並び替え後に追加しても正しい商品が追加される</t>
  </si>
  <si>
    <t>TC-45</t>
  </si>
  <si>
    <t>詳細画面から一覧に戻れる</t>
  </si>
  <si>
    <t>TC-46</t>
  </si>
  <si>
    <t>負荷増加で応答が緩やかに悪化する</t>
  </si>
  <si>
    <t>NF-09</t>
  </si>
  <si>
    <t>TC-47</t>
  </si>
  <si>
    <t>限界超過時の壊れ方を記録</t>
  </si>
  <si>
    <t>TC-48</t>
  </si>
  <si>
    <t>存在しないユーザー名でログインできない</t>
  </si>
  <si>
    <t>TC-49</t>
  </si>
  <si>
    <t>ユーザー名未入力の場合、ログイン不可</t>
  </si>
  <si>
    <t>FV-10</t>
  </si>
  <si>
    <t>TC-50</t>
  </si>
  <si>
    <t>パスワード未入力の場合、ログイン不可</t>
  </si>
  <si>
    <t>FV-11</t>
  </si>
  <si>
    <t>TC-51</t>
  </si>
  <si>
    <r>
      <rPr>
        <sz val="10"/>
        <color rgb="FF000000"/>
        <rFont val="Noto Sans CJK SC"/>
        <family val="2"/>
      </rPr>
      <t>通常負荷（</t>
    </r>
    <r>
      <rPr>
        <sz val="10"/>
        <color rgb="FF000000"/>
        <rFont val="Meiryo UI"/>
        <family val="3"/>
        <charset val="128"/>
      </rPr>
      <t>10</t>
    </r>
    <r>
      <rPr>
        <sz val="10"/>
        <color rgb="FF000000"/>
        <rFont val="Noto Sans CJK SC"/>
        <family val="2"/>
      </rPr>
      <t>ユーザー）でエラー率が</t>
    </r>
    <r>
      <rPr>
        <sz val="10"/>
        <color rgb="FF000000"/>
        <rFont val="Meiryo UI"/>
        <family val="3"/>
        <charset val="128"/>
      </rPr>
      <t>1%</t>
    </r>
    <r>
      <rPr>
        <sz val="10"/>
        <color rgb="FF000000"/>
        <rFont val="Noto Sans CJK SC"/>
        <family val="2"/>
      </rPr>
      <t>未満</t>
    </r>
  </si>
  <si>
    <t>NF-02</t>
  </si>
  <si>
    <t>TC-52</t>
  </si>
  <si>
    <t>耐久</t>
  </si>
  <si>
    <t>高負荷後に通常の応答時間へ戻る</t>
  </si>
  <si>
    <t>NF-03</t>
  </si>
  <si>
    <t>TC-53</t>
  </si>
  <si>
    <r>
      <rPr>
        <sz val="10"/>
        <color rgb="FF000000"/>
        <rFont val="Meiryo UI"/>
        <family val="3"/>
        <charset val="128"/>
      </rPr>
      <t>30</t>
    </r>
    <r>
      <rPr>
        <sz val="10"/>
        <color rgb="FF000000"/>
        <rFont val="Noto Sans CJK SC"/>
        <family val="2"/>
      </rPr>
      <t>分間の通常負荷で応答時間が劣化しない</t>
    </r>
  </si>
  <si>
    <t>NF-04</t>
  </si>
  <si>
    <t>TC-54</t>
  </si>
  <si>
    <r>
      <rPr>
        <sz val="10"/>
        <color rgb="FF000000"/>
        <rFont val="Noto Sans CJK SC"/>
        <family val="2"/>
      </rPr>
      <t>ログイン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の応答が閾値内</t>
    </r>
  </si>
  <si>
    <t>NF-05</t>
  </si>
  <si>
    <t>API-01</t>
  </si>
  <si>
    <r>
      <rPr>
        <sz val="10"/>
        <color rgb="FF000000"/>
        <rFont val="Meiryo UI"/>
        <family val="3"/>
        <charset val="128"/>
      </rPr>
      <t>GET /posts</t>
    </r>
    <r>
      <rPr>
        <sz val="10"/>
        <color rgb="FF000000"/>
        <rFont val="Noto Sans CJK SC"/>
        <family val="2"/>
      </rPr>
      <t>（一覧取得）</t>
    </r>
  </si>
  <si>
    <t>Checking</t>
  </si>
  <si>
    <r>
      <rPr>
        <sz val="10"/>
        <color rgb="FF000000"/>
        <rFont val="Noto Sans CJK SC"/>
        <family val="2"/>
      </rPr>
      <t>投稿の一覧を取得できる（</t>
    </r>
    <r>
      <rPr>
        <sz val="10"/>
        <color rgb="FF000000"/>
        <rFont val="Meiryo UI"/>
        <family val="3"/>
        <charset val="128"/>
      </rPr>
      <t>200</t>
    </r>
    <r>
      <rPr>
        <sz val="10"/>
        <color rgb="FF000000"/>
        <rFont val="Noto Sans CJK SC"/>
        <family val="2"/>
      </rPr>
      <t>、配列で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件以上、応答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</si>
  <si>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Postman / Newman</t>
  </si>
  <si>
    <r>
      <rPr>
        <sz val="10"/>
        <color rgb="FF000000"/>
        <rFont val="Noto Sans CJK SC"/>
        <family val="2"/>
      </rPr>
      <t>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には未記載（</t>
    </r>
    <r>
      <rPr>
        <sz val="10"/>
        <color rgb="FF000000"/>
        <rFont val="Meiryo UI"/>
        <family val="3"/>
        <charset val="128"/>
      </rPr>
      <t>Postman</t>
    </r>
    <r>
      <rPr>
        <sz val="10"/>
        <color rgb="FF000000"/>
        <rFont val="Noto Sans CJK SC"/>
        <family val="2"/>
      </rPr>
      <t>コレクションから作成）</t>
    </r>
  </si>
  <si>
    <t>API-02</t>
  </si>
  <si>
    <r>
      <rPr>
        <sz val="10"/>
        <color rgb="FF000000"/>
        <rFont val="Meiryo UI"/>
        <family val="3"/>
        <charset val="128"/>
      </rPr>
      <t>GET /posts/1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件取得）</t>
    </r>
  </si>
  <si>
    <r>
      <rPr>
        <sz val="10"/>
        <color rgb="FF000000"/>
        <rFont val="Noto Sans CJK SC"/>
        <family val="2"/>
      </rPr>
      <t>投稿を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件取得できる（</t>
    </r>
    <r>
      <rPr>
        <sz val="10"/>
        <color rgb="FF000000"/>
        <rFont val="Meiryo UI"/>
        <family val="3"/>
        <charset val="128"/>
      </rPr>
      <t>200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id</t>
    </r>
    <r>
      <rPr>
        <sz val="10"/>
        <color rgb="FF000000"/>
        <rFont val="Noto Sans CJK SC"/>
        <family val="2"/>
      </rPr>
      <t>が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title</t>
    </r>
    <r>
      <rPr>
        <sz val="10"/>
        <color rgb="FF000000"/>
        <rFont val="Noto Sans CJK SC"/>
        <family val="2"/>
      </rPr>
      <t>が文字列、応答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</si>
  <si>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API-03</t>
  </si>
  <si>
    <r>
      <rPr>
        <sz val="10"/>
        <color rgb="FF000000"/>
        <rFont val="Meiryo UI"/>
        <family val="3"/>
        <charset val="128"/>
      </rPr>
      <t>GET /posts/9999</t>
    </r>
    <r>
      <rPr>
        <sz val="10"/>
        <color rgb="FF000000"/>
        <rFont val="Noto Sans CJK SC"/>
        <family val="2"/>
      </rPr>
      <t>（存在しない</t>
    </r>
    <r>
      <rPr>
        <sz val="10"/>
        <color rgb="FF000000"/>
        <rFont val="Meiryo UI"/>
        <family val="3"/>
        <charset val="128"/>
      </rPr>
      <t>ID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</si>
  <si>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Noto Sans CJK SC"/>
        <family val="2"/>
      </rPr>
      <t>存在しない投稿は取得できない（</t>
    </r>
    <r>
      <rPr>
        <sz val="10"/>
        <color rgb="FF000000"/>
        <rFont val="Meiryo UI"/>
        <family val="3"/>
        <charset val="128"/>
      </rPr>
      <t>404</t>
    </r>
    <r>
      <rPr>
        <sz val="10"/>
        <color rgb="FF000000"/>
        <rFont val="Noto Sans CJK SC"/>
        <family val="2"/>
      </rPr>
      <t>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</si>
  <si>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API-04</t>
  </si>
  <si>
    <r>
      <rPr>
        <sz val="10"/>
        <color rgb="FF000000"/>
        <rFont val="Meiryo UI"/>
        <family val="3"/>
        <charset val="128"/>
      </rPr>
      <t>POST /posts</t>
    </r>
    <r>
      <rPr>
        <sz val="10"/>
        <color rgb="FF000000"/>
        <rFont val="Noto Sans CJK SC"/>
        <family val="2"/>
      </rPr>
      <t>（作成）</t>
    </r>
  </si>
  <si>
    <r>
      <rPr>
        <sz val="10"/>
        <color rgb="FF000000"/>
        <rFont val="Noto Sans CJK SC"/>
        <family val="2"/>
      </rPr>
      <t>投稿を作成できる（</t>
    </r>
    <r>
      <rPr>
        <sz val="10"/>
        <color rgb="FF000000"/>
        <rFont val="Meiryo UI"/>
        <family val="3"/>
        <charset val="128"/>
      </rPr>
      <t>201</t>
    </r>
    <r>
      <rPr>
        <sz val="10"/>
        <color rgb="FF000000"/>
        <rFont val="Noto Sans CJK SC"/>
        <family val="2"/>
      </rPr>
      <t>、送った内容が返り、</t>
    </r>
    <r>
      <rPr>
        <sz val="10"/>
        <color rgb="FF000000"/>
        <rFont val="Meiryo UI"/>
        <family val="3"/>
        <charset val="128"/>
      </rPr>
      <t>id</t>
    </r>
    <r>
      <rPr>
        <sz val="10"/>
        <color rgb="FF000000"/>
        <rFont val="Noto Sans CJK SC"/>
        <family val="2"/>
      </rPr>
      <t>が付く、応答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</si>
  <si>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API-05</t>
  </si>
  <si>
    <r>
      <rPr>
        <sz val="10"/>
        <color rgb="FF000000"/>
        <rFont val="Meiryo UI"/>
        <family val="3"/>
        <charset val="128"/>
      </rPr>
      <t>PUT /posts/1</t>
    </r>
    <r>
      <rPr>
        <sz val="10"/>
        <color rgb="FF000000"/>
        <rFont val="Noto Sans CJK SC"/>
        <family val="2"/>
      </rPr>
      <t>（更新）</t>
    </r>
  </si>
  <si>
    <r>
      <rPr>
        <sz val="10"/>
        <color rgb="FF000000"/>
        <rFont val="Noto Sans CJK SC"/>
        <family val="2"/>
      </rPr>
      <t>投稿を更新できる（</t>
    </r>
    <r>
      <rPr>
        <sz val="10"/>
        <color rgb="FF000000"/>
        <rFont val="Meiryo UI"/>
        <family val="3"/>
        <charset val="128"/>
      </rPr>
      <t>200</t>
    </r>
    <r>
      <rPr>
        <sz val="10"/>
        <color rgb="FF000000"/>
        <rFont val="Noto Sans CJK SC"/>
        <family val="2"/>
      </rPr>
      <t>、更新した内容が返る、応答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</si>
  <si>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API-06</t>
  </si>
  <si>
    <r>
      <rPr>
        <sz val="10"/>
        <color rgb="FF000000"/>
        <rFont val="Meiryo UI"/>
        <family val="3"/>
        <charset val="128"/>
      </rPr>
      <t>DELETE /posts/1</t>
    </r>
    <r>
      <rPr>
        <sz val="10"/>
        <color rgb="FF000000"/>
        <rFont val="Noto Sans CJK SC"/>
        <family val="2"/>
      </rPr>
      <t>（削除）</t>
    </r>
  </si>
  <si>
    <r>
      <rPr>
        <sz val="10"/>
        <color rgb="FF000000"/>
        <rFont val="Noto Sans CJK SC"/>
        <family val="2"/>
      </rPr>
      <t>投稿を削除できる（</t>
    </r>
    <r>
      <rPr>
        <sz val="10"/>
        <color rgb="FF000000"/>
        <rFont val="Meiryo UI"/>
        <family val="3"/>
        <charset val="128"/>
      </rPr>
      <t>200</t>
    </r>
    <r>
      <rPr>
        <sz val="10"/>
        <color rgb="FF000000"/>
        <rFont val="Noto Sans CJK SC"/>
        <family val="2"/>
      </rPr>
      <t>、応答</t>
    </r>
    <r>
      <rPr>
        <sz val="10"/>
        <color rgb="FF000000"/>
        <rFont val="Meiryo UI"/>
        <family val="3"/>
        <charset val="128"/>
      </rPr>
      <t>2</t>
    </r>
    <r>
      <rPr>
        <sz val="10"/>
        <color rgb="FF000000"/>
        <rFont val="Noto Sans CJK SC"/>
        <family val="2"/>
      </rPr>
      <t>秒以内）</t>
    </r>
  </si>
  <si>
    <t>スケジュール</t>
  </si>
  <si>
    <r>
      <rPr>
        <sz val="10"/>
        <color rgb="FF595959"/>
        <rFont val="Noto Sans CJK SC"/>
        <family val="2"/>
      </rPr>
      <t>予定開始・予定終了・状況・備考は、黄色のセルに入力する（日付の例：</t>
    </r>
    <r>
      <rPr>
        <sz val="10"/>
        <color rgb="FF595959"/>
        <rFont val="Meiryo UI"/>
        <family val="3"/>
        <charset val="128"/>
      </rPr>
      <t>2026-10-20</t>
    </r>
    <r>
      <rPr>
        <sz val="10"/>
        <color rgb="FF595959"/>
        <rFont val="Noto Sans CJK SC"/>
        <family val="2"/>
      </rPr>
      <t>）。日数は、自動で計算される。</t>
    </r>
  </si>
  <si>
    <t>工程</t>
  </si>
  <si>
    <t>作業内容</t>
  </si>
  <si>
    <t>成果物</t>
  </si>
  <si>
    <t>予定開始</t>
  </si>
  <si>
    <t>予定終了</t>
  </si>
  <si>
    <t>日数</t>
  </si>
  <si>
    <t>状況</t>
  </si>
  <si>
    <t>テスト設計</t>
  </si>
  <si>
    <r>
      <rPr>
        <sz val="10"/>
        <color rgb="FF000000"/>
        <rFont val="Noto Sans CJK SC"/>
        <family val="2"/>
      </rPr>
      <t>要求分析、</t>
    </r>
    <r>
      <rPr>
        <sz val="10"/>
        <color rgb="FF000000"/>
        <rFont val="Meiryo UI"/>
        <family val="3"/>
        <charset val="128"/>
      </rPr>
      <t>FV</t>
    </r>
    <r>
      <rPr>
        <sz val="10"/>
        <color rgb="FF000000"/>
        <rFont val="Noto Sans CJK SC"/>
        <family val="2"/>
      </rPr>
      <t>表、テストマップ、テストケース（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54</t>
    </r>
    <r>
      <rPr>
        <sz val="10"/>
        <color rgb="FF000000"/>
        <rFont val="Noto Sans CJK SC"/>
        <family val="2"/>
      </rPr>
      <t>）を書く</t>
    </r>
  </si>
  <si>
    <r>
      <rPr>
        <sz val="10"/>
        <color rgb="FF000000"/>
        <rFont val="Noto Sans CJK SC"/>
        <family val="2"/>
      </rPr>
      <t>設計</t>
    </r>
    <r>
      <rPr>
        <sz val="10"/>
        <color rgb="FF000000"/>
        <rFont val="Meiryo UI"/>
        <family val="3"/>
        <charset val="128"/>
      </rPr>
      <t>Excel</t>
    </r>
  </si>
  <si>
    <t>完了</t>
  </si>
  <si>
    <t>環境構築</t>
  </si>
  <si>
    <r>
      <rPr>
        <sz val="10"/>
        <color rgb="FF000000"/>
        <rFont val="Meiryo UI"/>
        <family val="3"/>
        <charset val="128"/>
      </rPr>
      <t>Python 3.12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Playwright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Git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GitHub</t>
    </r>
    <r>
      <rPr>
        <sz val="10"/>
        <color rgb="FF000000"/>
        <rFont val="Noto Sans CJK SC"/>
        <family val="2"/>
      </rPr>
      <t>の認証を整える</t>
    </r>
  </si>
  <si>
    <t>動く開発環境</t>
  </si>
  <si>
    <t>未着手</t>
  </si>
  <si>
    <t>要確認項目の手動確認</t>
  </si>
  <si>
    <r>
      <rPr>
        <sz val="10"/>
        <color rgb="FF000000"/>
        <rFont val="Noto Sans CJK SC"/>
        <family val="2"/>
      </rPr>
      <t>エラー文言、遷移先、金額が出る画面・税率などを実画面で確認し、設計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の期待結果を確定する</t>
    </r>
  </si>
  <si>
    <r>
      <rPr>
        <sz val="10"/>
        <color rgb="FF000000"/>
        <rFont val="Noto Sans CJK SC"/>
        <family val="2"/>
      </rPr>
      <t>更新した設計</t>
    </r>
    <r>
      <rPr>
        <sz val="10"/>
        <color rgb="FF000000"/>
        <rFont val="Meiryo UI"/>
        <family val="3"/>
        <charset val="128"/>
      </rPr>
      <t>Excel</t>
    </r>
  </si>
  <si>
    <t>コードと設計の番号合わせ</t>
  </si>
  <si>
    <r>
      <rPr>
        <sz val="10"/>
        <color rgb="FF000000"/>
        <rFont val="Meiryo UI"/>
        <family val="3"/>
        <charset val="128"/>
      </rPr>
      <t>pytest</t>
    </r>
    <r>
      <rPr>
        <sz val="10"/>
        <color rgb="FF000000"/>
        <rFont val="Noto Sans CJK SC"/>
        <family val="2"/>
      </rPr>
      <t>のテスト名・</t>
    </r>
    <r>
      <rPr>
        <sz val="10"/>
        <color rgb="FF000000"/>
        <rFont val="Meiryo UI"/>
        <family val="3"/>
        <charset val="128"/>
      </rPr>
      <t>docstring</t>
    </r>
    <r>
      <rPr>
        <sz val="10"/>
        <color rgb="FF000000"/>
        <rFont val="Noto Sans CJK SC"/>
        <family val="2"/>
      </rPr>
      <t>と、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の「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06</t>
    </r>
    <r>
      <rPr>
        <sz val="10"/>
        <color rgb="FF000000"/>
        <rFont val="Noto Sans CJK SC"/>
        <family val="2"/>
      </rPr>
      <t>」を、設計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TC</t>
    </r>
    <r>
      <rPr>
        <sz val="10"/>
        <color rgb="FF000000"/>
        <rFont val="Noto Sans CJK SC"/>
        <family val="2"/>
      </rPr>
      <t>番号に合わせる</t>
    </r>
  </si>
  <si>
    <r>
      <rPr>
        <sz val="10"/>
        <color rgb="FF000000"/>
        <rFont val="Meiryo UI"/>
        <family val="3"/>
        <charset val="128"/>
      </rPr>
      <t>tests/ui/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README.md</t>
    </r>
  </si>
  <si>
    <r>
      <rPr>
        <b/>
        <sz val="10"/>
        <color rgb="FF000000"/>
        <rFont val="Meiryo UI"/>
        <family val="3"/>
        <charset val="128"/>
      </rPr>
      <t>UI</t>
    </r>
    <r>
      <rPr>
        <b/>
        <sz val="10"/>
        <color rgb="FF000000"/>
        <rFont val="Noto Sans CJK SC"/>
        <family val="2"/>
      </rPr>
      <t>テストの実装（</t>
    </r>
    <r>
      <rPr>
        <b/>
        <sz val="10"/>
        <color rgb="FF000000"/>
        <rFont val="Meiryo UI"/>
        <family val="3"/>
        <charset val="128"/>
      </rPr>
      <t>Checking</t>
    </r>
    <r>
      <rPr>
        <b/>
        <sz val="10"/>
        <color rgb="FF000000"/>
        <rFont val="Noto Sans CJK SC"/>
        <family val="2"/>
      </rPr>
      <t>）</t>
    </r>
  </si>
  <si>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TC-02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TC-03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TC-10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TC-15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TC-17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TC-18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TC-48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TC-49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TC-50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11</t>
    </r>
    <r>
      <rPr>
        <sz val="10"/>
        <color rgb="FF000000"/>
        <rFont val="Noto Sans CJK SC"/>
        <family val="2"/>
      </rPr>
      <t>件）を実装して、すべて通す</t>
    </r>
  </si>
  <si>
    <r>
      <rPr>
        <sz val="10"/>
        <color rgb="FF000000"/>
        <rFont val="Meiryo UI"/>
        <family val="3"/>
        <charset val="128"/>
      </rPr>
      <t>tests/ui/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pages/</t>
    </r>
  </si>
  <si>
    <t>失敗時のレポート確認</t>
  </si>
  <si>
    <t>失敗したときに、スクリーンショット・トレースが残ることを確認する</t>
  </si>
  <si>
    <t>pytest.ini</t>
  </si>
  <si>
    <r>
      <rPr>
        <b/>
        <sz val="10"/>
        <color rgb="FF000000"/>
        <rFont val="Meiryo UI"/>
        <family val="3"/>
        <charset val="128"/>
      </rPr>
      <t>API</t>
    </r>
    <r>
      <rPr>
        <b/>
        <sz val="10"/>
        <color rgb="FF000000"/>
        <rFont val="Noto Sans CJK SC"/>
        <family val="2"/>
      </rPr>
      <t>テスト</t>
    </r>
  </si>
  <si>
    <r>
      <rPr>
        <sz val="10"/>
        <color rgb="FF000000"/>
        <rFont val="Meiryo UI"/>
        <family val="3"/>
        <charset val="128"/>
      </rPr>
      <t>Postman</t>
    </r>
    <r>
      <rPr>
        <sz val="10"/>
        <color rgb="FF000000"/>
        <rFont val="Noto Sans CJK SC"/>
        <family val="2"/>
      </rPr>
      <t>でコレクションを作り、</t>
    </r>
    <r>
      <rPr>
        <sz val="10"/>
        <color rgb="FF000000"/>
        <rFont val="Meiryo UI"/>
        <family val="3"/>
        <charset val="128"/>
      </rPr>
      <t>Newman</t>
    </r>
    <r>
      <rPr>
        <sz val="10"/>
        <color rgb="FF000000"/>
        <rFont val="Noto Sans CJK SC"/>
        <family val="2"/>
      </rPr>
      <t>で実行する</t>
    </r>
  </si>
  <si>
    <t>tests/api/</t>
  </si>
  <si>
    <r>
      <rPr>
        <b/>
        <sz val="10"/>
        <color rgb="FF000000"/>
        <rFont val="Meiryo UI"/>
        <family val="3"/>
        <charset val="128"/>
      </rPr>
      <t>CI</t>
    </r>
    <r>
      <rPr>
        <b/>
        <sz val="10"/>
        <color rgb="FF000000"/>
        <rFont val="Noto Sans CJK SC"/>
        <family val="2"/>
      </rPr>
      <t>（</t>
    </r>
    <r>
      <rPr>
        <b/>
        <sz val="10"/>
        <color rgb="FF000000"/>
        <rFont val="Meiryo UI"/>
        <family val="3"/>
        <charset val="128"/>
      </rPr>
      <t>GitHub Actions</t>
    </r>
    <r>
      <rPr>
        <b/>
        <sz val="10"/>
        <color rgb="FF000000"/>
        <rFont val="Noto Sans CJK SC"/>
        <family val="2"/>
      </rPr>
      <t>）</t>
    </r>
  </si>
  <si>
    <r>
      <rPr>
        <sz val="10"/>
        <color rgb="FF000000"/>
        <rFont val="Meiryo UI"/>
        <family val="3"/>
        <charset val="128"/>
      </rPr>
      <t>push</t>
    </r>
    <r>
      <rPr>
        <sz val="10"/>
        <color rgb="FF000000"/>
        <rFont val="Noto Sans CJK SC"/>
        <family val="2"/>
      </rPr>
      <t>のたびに、</t>
    </r>
    <r>
      <rPr>
        <sz val="10"/>
        <color rgb="FF000000"/>
        <rFont val="Meiryo UI"/>
        <family val="3"/>
        <charset val="128"/>
      </rPr>
      <t>UI</t>
    </r>
    <r>
      <rPr>
        <sz val="10"/>
        <color rgb="FF000000"/>
        <rFont val="Noto Sans CJK SC"/>
        <family val="2"/>
      </rPr>
      <t>テストと</t>
    </r>
    <r>
      <rPr>
        <sz val="10"/>
        <color rgb="FF000000"/>
        <rFont val="Meiryo UI"/>
        <family val="3"/>
        <charset val="128"/>
      </rPr>
      <t>API</t>
    </r>
    <r>
      <rPr>
        <sz val="10"/>
        <color rgb="FF000000"/>
        <rFont val="Noto Sans CJK SC"/>
        <family val="2"/>
      </rPr>
      <t>テストを自動実行する</t>
    </r>
  </si>
  <si>
    <t>.github/workflows/test.yml</t>
  </si>
  <si>
    <r>
      <rPr>
        <b/>
        <sz val="10"/>
        <color rgb="FF000000"/>
        <rFont val="Meiryo UI"/>
        <family val="3"/>
        <charset val="128"/>
      </rPr>
      <t>JMeter</t>
    </r>
    <r>
      <rPr>
        <b/>
        <sz val="10"/>
        <color rgb="FF000000"/>
        <rFont val="Noto Sans CJK SC"/>
        <family val="2"/>
      </rPr>
      <t>（通常負荷）</t>
    </r>
  </si>
  <si>
    <r>
      <rPr>
        <sz val="10"/>
        <color rgb="FF000000"/>
        <rFont val="Meiryo UI"/>
        <family val="3"/>
        <charset val="128"/>
      </rPr>
      <t>Juice Shop</t>
    </r>
    <r>
      <rPr>
        <sz val="10"/>
        <color rgb="FF000000"/>
        <rFont val="Noto Sans CJK SC"/>
        <family val="2"/>
      </rPr>
      <t>を起動し、リクエストを確認して、</t>
    </r>
    <r>
      <rPr>
        <sz val="10"/>
        <color rgb="FF000000"/>
        <rFont val="Meiryo UI"/>
        <family val="3"/>
        <charset val="128"/>
      </rPr>
      <t>TC-35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TC-36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TC-37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TC-38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TC-51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TC-54</t>
    </r>
    <r>
      <rPr>
        <sz val="10"/>
        <color rgb="FF000000"/>
        <rFont val="Noto Sans CJK SC"/>
        <family val="2"/>
      </rPr>
      <t>を確認するテストプランを作成・実行する</t>
    </r>
  </si>
  <si>
    <r>
      <rPr>
        <sz val="10"/>
        <color rgb="FF000000"/>
        <rFont val="Meiryo UI"/>
        <family val="3"/>
        <charset val="128"/>
      </rPr>
      <t>jmeter/load-test.jmx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HTML</t>
    </r>
    <r>
      <rPr>
        <sz val="10"/>
        <color rgb="FF000000"/>
        <rFont val="Noto Sans CJK SC"/>
        <family val="2"/>
      </rPr>
      <t>レポート</t>
    </r>
  </si>
  <si>
    <r>
      <rPr>
        <b/>
        <sz val="10"/>
        <color rgb="FF000000"/>
        <rFont val="Meiryo UI"/>
        <family val="3"/>
        <charset val="128"/>
      </rPr>
      <t>Testing</t>
    </r>
    <r>
      <rPr>
        <b/>
        <sz val="10"/>
        <color rgb="FF000000"/>
        <rFont val="Noto Sans CJK SC"/>
        <family val="2"/>
      </rPr>
      <t>の追加自動化（任意）</t>
    </r>
  </si>
  <si>
    <r>
      <rPr>
        <sz val="10"/>
        <color rgb="FF000000"/>
        <rFont val="Noto Sans CJK SC"/>
        <family val="2"/>
      </rPr>
      <t>入力違いを</t>
    </r>
    <r>
      <rPr>
        <sz val="10"/>
        <color rgb="FF000000"/>
        <rFont val="Meiryo UI"/>
        <family val="3"/>
        <charset val="128"/>
      </rPr>
      <t>parametrize</t>
    </r>
    <r>
      <rPr>
        <sz val="10"/>
        <color rgb="FF000000"/>
        <rFont val="Noto Sans CJK SC"/>
        <family val="2"/>
      </rPr>
      <t>で追加し、手順違いを別のテストで追加する</t>
    </r>
  </si>
  <si>
    <t>追加したテスト</t>
  </si>
  <si>
    <r>
      <rPr>
        <b/>
        <sz val="10"/>
        <color rgb="FF000000"/>
        <rFont val="Meiryo UI"/>
        <family val="3"/>
        <charset val="128"/>
      </rPr>
      <t>README</t>
    </r>
    <r>
      <rPr>
        <b/>
        <sz val="10"/>
        <color rgb="FF000000"/>
        <rFont val="Noto Sans CJK SC"/>
        <family val="2"/>
      </rPr>
      <t>・経歴書への反映</t>
    </r>
  </si>
  <si>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を仕上げ、実行結果を載せる。経歴書に</t>
    </r>
    <r>
      <rPr>
        <sz val="10"/>
        <color rgb="FF000000"/>
        <rFont val="Meiryo UI"/>
        <family val="3"/>
        <charset val="128"/>
      </rPr>
      <t>GitHub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URL</t>
    </r>
    <r>
      <rPr>
        <sz val="10"/>
        <color rgb="FF000000"/>
        <rFont val="Noto Sans CJK SC"/>
        <family val="2"/>
      </rPr>
      <t>を追記する</t>
    </r>
  </si>
  <si>
    <r>
      <rPr>
        <sz val="10"/>
        <color rgb="FF000000"/>
        <rFont val="Meiryo UI"/>
        <family val="3"/>
        <charset val="128"/>
      </rPr>
      <t>README.md</t>
    </r>
    <r>
      <rPr>
        <sz val="10"/>
        <color rgb="FF000000"/>
        <rFont val="Noto Sans CJK SC"/>
        <family val="2"/>
      </rPr>
      <t>、経歴書</t>
    </r>
  </si>
  <si>
    <t>リスクと対策</t>
  </si>
  <si>
    <t>状況は、黄色のセルで更新する。</t>
  </si>
  <si>
    <t>リスク</t>
  </si>
  <si>
    <t>影響度</t>
  </si>
  <si>
    <t>発生可能性</t>
  </si>
  <si>
    <t>対策</t>
  </si>
  <si>
    <r>
      <rPr>
        <sz val="10"/>
        <color rgb="FF000000"/>
        <rFont val="Noto Sans CJK SC"/>
        <family val="2"/>
      </rPr>
      <t>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TC</t>
    </r>
    <r>
      <rPr>
        <sz val="10"/>
        <color rgb="FF000000"/>
        <rFont val="Noto Sans CJK SC"/>
        <family val="2"/>
      </rPr>
      <t>番号と、</t>
    </r>
    <r>
      <rPr>
        <sz val="10"/>
        <color rgb="FF000000"/>
        <rFont val="Meiryo UI"/>
        <family val="3"/>
        <charset val="128"/>
      </rPr>
      <t>pytest</t>
    </r>
    <r>
      <rPr>
        <sz val="10"/>
        <color rgb="FF000000"/>
        <rFont val="Noto Sans CJK SC"/>
        <family val="2"/>
      </rPr>
      <t>コード・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の番号（旧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06</t>
    </r>
    <r>
      <rPr>
        <sz val="10"/>
        <color rgb="FF000000"/>
        <rFont val="Noto Sans CJK SC"/>
        <family val="2"/>
      </rPr>
      <t>）が別物になっている</t>
    </r>
  </si>
  <si>
    <t>中</t>
  </si>
  <si>
    <t>高</t>
  </si>
  <si>
    <r>
      <rPr>
        <sz val="10"/>
        <color rgb="FF000000"/>
        <rFont val="Noto Sans CJK SC"/>
        <family val="2"/>
      </rPr>
      <t>実装前に、テスト名・</t>
    </r>
    <r>
      <rPr>
        <sz val="10"/>
        <color rgb="FF000000"/>
        <rFont val="Meiryo UI"/>
        <family val="3"/>
        <charset val="128"/>
      </rPr>
      <t>docstring</t>
    </r>
    <r>
      <rPr>
        <sz val="10"/>
        <color rgb="FF000000"/>
        <rFont val="Noto Sans CJK SC"/>
        <family val="2"/>
      </rPr>
      <t>を設計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</t>
    </r>
    <r>
      <rPr>
        <sz val="10"/>
        <color rgb="FF000000"/>
        <rFont val="Meiryo UI"/>
        <family val="3"/>
        <charset val="128"/>
      </rPr>
      <t>TC</t>
    </r>
    <r>
      <rPr>
        <sz val="10"/>
        <color rgb="FF000000"/>
        <rFont val="Noto Sans CJK SC"/>
        <family val="2"/>
      </rPr>
      <t>番号に合わせる。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の「</t>
    </r>
    <r>
      <rPr>
        <sz val="10"/>
        <color rgb="FF000000"/>
        <rFont val="Meiryo UI"/>
        <family val="3"/>
        <charset val="128"/>
      </rPr>
      <t>TC-01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Meiryo UI"/>
        <family val="3"/>
        <charset val="128"/>
      </rPr>
      <t>06</t>
    </r>
    <r>
      <rPr>
        <sz val="10"/>
        <color rgb="FF000000"/>
        <rFont val="Noto Sans CJK SC"/>
        <family val="2"/>
      </rPr>
      <t>」も直す。</t>
    </r>
  </si>
  <si>
    <t>未対応</t>
  </si>
  <si>
    <t>エラー文言・税率などの期待結果が、実画面と違う（未確認の推定）</t>
  </si>
  <si>
    <r>
      <rPr>
        <sz val="10"/>
        <color rgb="FF000000"/>
        <rFont val="Noto Sans CJK SC"/>
        <family val="2"/>
      </rPr>
      <t>実施前に手動で確認し、設計</t>
    </r>
    <r>
      <rPr>
        <sz val="10"/>
        <color rgb="FF000000"/>
        <rFont val="Meiryo UI"/>
        <family val="3"/>
        <charset val="128"/>
      </rPr>
      <t>Excel</t>
    </r>
    <r>
      <rPr>
        <sz val="10"/>
        <color rgb="FF000000"/>
        <rFont val="Noto Sans CJK SC"/>
        <family val="2"/>
      </rPr>
      <t>の期待結果を確定する。エラー文言は部分一致で確認する。</t>
    </r>
  </si>
  <si>
    <t>仕様書がなく、期待結果（エラー文言、遷移先など）が推定のため、実際の画面と違う</t>
  </si>
  <si>
    <t>実施前に、「要確認」の項目を手動で確認して、設計書に反映する。エラー文言は、部分一致で確認する。</t>
  </si>
  <si>
    <r>
      <rPr>
        <sz val="10"/>
        <color rgb="FF000000"/>
        <rFont val="Noto Sans CJK SC"/>
        <family val="2"/>
      </rPr>
      <t>第三者のサイト（</t>
    </r>
    <r>
      <rPr>
        <sz val="10"/>
        <color rgb="FF000000"/>
        <rFont val="Meiryo UI"/>
        <family val="3"/>
        <charset val="128"/>
      </rPr>
      <t>SauceDemo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JSONPlaceholder</t>
    </r>
    <r>
      <rPr>
        <sz val="10"/>
        <color rgb="FF000000"/>
        <rFont val="Noto Sans CJK SC"/>
        <family val="2"/>
      </rPr>
      <t>）の変更で、テストが壊れる</t>
    </r>
  </si>
  <si>
    <r>
      <rPr>
        <sz val="10"/>
        <color rgb="FF000000"/>
        <rFont val="Meiryo UI"/>
        <family val="3"/>
        <charset val="128"/>
      </rPr>
      <t>data-test</t>
    </r>
    <r>
      <rPr>
        <sz val="10"/>
        <color rgb="FF000000"/>
        <rFont val="Noto Sans CJK SC"/>
        <family val="2"/>
      </rPr>
      <t>属性でロケーターを指定する。</t>
    </r>
    <r>
      <rPr>
        <sz val="10"/>
        <color rgb="FF000000"/>
        <rFont val="Meiryo UI"/>
        <family val="3"/>
        <charset val="128"/>
      </rPr>
      <t>Page Object</t>
    </r>
    <r>
      <rPr>
        <sz val="10"/>
        <color rgb="FF000000"/>
        <rFont val="Noto Sans CJK SC"/>
        <family val="2"/>
      </rPr>
      <t>でロケーターを</t>
    </r>
    <r>
      <rPr>
        <sz val="10"/>
        <color rgb="FF000000"/>
        <rFont val="Meiryo UI"/>
        <family val="3"/>
        <charset val="128"/>
      </rPr>
      <t>1</t>
    </r>
    <r>
      <rPr>
        <sz val="10"/>
        <color rgb="FF000000"/>
        <rFont val="Noto Sans CJK SC"/>
        <family val="2"/>
      </rPr>
      <t>か所に集める。失敗時のスクリーンショット・トレースで、原因をすぐ確認する。</t>
    </r>
  </si>
  <si>
    <r>
      <rPr>
        <sz val="10"/>
        <color rgb="FF000000"/>
        <rFont val="Noto Sans CJK SC"/>
        <family val="2"/>
      </rPr>
      <t>第三者のサイトの停止・遅延で、</t>
    </r>
    <r>
      <rPr>
        <sz val="10"/>
        <color rgb="FF000000"/>
        <rFont val="Meiryo UI"/>
        <family val="3"/>
        <charset val="128"/>
      </rPr>
      <t>CI</t>
    </r>
    <r>
      <rPr>
        <sz val="10"/>
        <color rgb="FF000000"/>
        <rFont val="Noto Sans CJK SC"/>
        <family val="2"/>
      </rPr>
      <t>が落ちる</t>
    </r>
  </si>
  <si>
    <t>低</t>
  </si>
  <si>
    <t>失敗した場合は、サイトの状態を確認して再実行する。実行結果は、テストの失敗か、環境の問題かを分けて記録する。</t>
  </si>
  <si>
    <r>
      <rPr>
        <sz val="10"/>
        <color rgb="FF000000"/>
        <rFont val="Noto Sans CJK SC"/>
        <family val="2"/>
      </rPr>
      <t>環境構築でつまずく（古い</t>
    </r>
    <r>
      <rPr>
        <sz val="10"/>
        <color rgb="FF000000"/>
        <rFont val="Meiryo UI"/>
        <family val="3"/>
        <charset val="128"/>
      </rPr>
      <t>Python</t>
    </r>
    <r>
      <rPr>
        <sz val="10"/>
        <color rgb="FF000000"/>
        <rFont val="Noto Sans CJK SC"/>
        <family val="2"/>
      </rPr>
      <t>、日本語のパス、</t>
    </r>
    <r>
      <rPr>
        <sz val="10"/>
        <color rgb="FF000000"/>
        <rFont val="Meiryo UI"/>
        <family val="3"/>
        <charset val="128"/>
      </rPr>
      <t>OneDrive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Meiryo UI"/>
        <family val="3"/>
        <charset val="128"/>
      </rPr>
      <t>Git</t>
    </r>
    <r>
      <rPr>
        <sz val="10"/>
        <color rgb="FF000000"/>
        <rFont val="Noto Sans CJK SC"/>
        <family val="2"/>
      </rPr>
      <t>の認証）</t>
    </r>
  </si>
  <si>
    <r>
      <rPr>
        <sz val="10"/>
        <color rgb="FF000000"/>
        <rFont val="Meiryo UI"/>
        <family val="3"/>
        <charset val="128"/>
      </rPr>
      <t>Python 3.12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Meiryo UI"/>
        <family val="3"/>
        <charset val="128"/>
      </rPr>
      <t>64bit</t>
    </r>
    <r>
      <rPr>
        <sz val="10"/>
        <color rgb="FF000000"/>
        <rFont val="Noto Sans CJK SC"/>
        <family val="2"/>
      </rPr>
      <t>）を使う。プロジェクトは、日本語を含まないパス・</t>
    </r>
    <r>
      <rPr>
        <sz val="10"/>
        <color rgb="FF000000"/>
        <rFont val="Meiryo UI"/>
        <family val="3"/>
        <charset val="128"/>
      </rPr>
      <t>OneDrive</t>
    </r>
    <r>
      <rPr>
        <sz val="10"/>
        <color rgb="FF000000"/>
        <rFont val="Noto Sans CJK SC"/>
        <family val="2"/>
      </rPr>
      <t>外に置く。</t>
    </r>
    <r>
      <rPr>
        <sz val="10"/>
        <color rgb="FF000000"/>
        <rFont val="Meiryo UI"/>
        <family val="3"/>
        <charset val="128"/>
      </rPr>
      <t>Git</t>
    </r>
    <r>
      <rPr>
        <sz val="10"/>
        <color rgb="FF000000"/>
        <rFont val="Noto Sans CJK SC"/>
        <family val="2"/>
      </rPr>
      <t>を最新にして、ブラウザで認証する。</t>
    </r>
  </si>
  <si>
    <r>
      <rPr>
        <sz val="10"/>
        <color rgb="FF000000"/>
        <rFont val="Meiryo UI"/>
        <family val="3"/>
        <charset val="128"/>
      </rPr>
      <t>Juice Shop</t>
    </r>
    <r>
      <rPr>
        <sz val="10"/>
        <color rgb="FF000000"/>
        <rFont val="Noto Sans CJK SC"/>
        <family val="2"/>
      </rPr>
      <t>のエンドポイントやパラメータが、バージョンで変わる</t>
    </r>
  </si>
  <si>
    <r>
      <rPr>
        <sz val="10"/>
        <color rgb="FF000000"/>
        <rFont val="Noto Sans CJK SC"/>
        <family val="2"/>
      </rPr>
      <t>ブラウザの開発者ツール（</t>
    </r>
    <r>
      <rPr>
        <sz val="10"/>
        <color rgb="FF000000"/>
        <rFont val="Meiryo UI"/>
        <family val="3"/>
        <charset val="128"/>
      </rPr>
      <t>Network</t>
    </r>
    <r>
      <rPr>
        <sz val="10"/>
        <color rgb="FF000000"/>
        <rFont val="Noto Sans CJK SC"/>
        <family val="2"/>
      </rPr>
      <t>タブ）で、実際のリクエストを確認してから作る。使ったバージョンを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に記録する。</t>
    </r>
  </si>
  <si>
    <r>
      <rPr>
        <sz val="10"/>
        <color rgb="FF000000"/>
        <rFont val="Noto Sans CJK SC"/>
        <family val="2"/>
      </rPr>
      <t>負荷テストの結果が、自分の</t>
    </r>
    <r>
      <rPr>
        <sz val="10"/>
        <color rgb="FF000000"/>
        <rFont val="Meiryo UI"/>
        <family val="3"/>
        <charset val="128"/>
      </rPr>
      <t>PC</t>
    </r>
    <r>
      <rPr>
        <sz val="10"/>
        <color rgb="FF000000"/>
        <rFont val="Noto Sans CJK SC"/>
        <family val="2"/>
      </rPr>
      <t>の性能に左右される</t>
    </r>
  </si>
  <si>
    <t>小さい負荷から始める。目標値は想定値とし、実測して見直す。結果は、参考値として扱う。</t>
  </si>
  <si>
    <r>
      <rPr>
        <sz val="10"/>
        <color rgb="FF000000"/>
        <rFont val="Noto Sans CJK SC"/>
        <family val="2"/>
      </rPr>
      <t>脆弱性を含む</t>
    </r>
    <r>
      <rPr>
        <sz val="10"/>
        <color rgb="FF000000"/>
        <rFont val="Meiryo UI"/>
        <family val="3"/>
        <charset val="128"/>
      </rPr>
      <t>Juice Shop</t>
    </r>
    <r>
      <rPr>
        <sz val="10"/>
        <color rgb="FF000000"/>
        <rFont val="Noto Sans CJK SC"/>
        <family val="2"/>
      </rPr>
      <t>を、誤って外部に公開してしまう</t>
    </r>
  </si>
  <si>
    <r>
      <rPr>
        <sz val="10"/>
        <color rgb="FF000000"/>
        <rFont val="Meiryo UI"/>
        <family val="3"/>
        <charset val="128"/>
      </rPr>
      <t>localhost</t>
    </r>
    <r>
      <rPr>
        <sz val="10"/>
        <color rgb="FF000000"/>
        <rFont val="Noto Sans CJK SC"/>
        <family val="2"/>
      </rPr>
      <t>でのみ動かす。他人のサイトや公開サイトには、負荷をかけない。</t>
    </r>
  </si>
  <si>
    <t>時間が足りず、範囲が広がりすぎる</t>
  </si>
  <si>
    <r>
      <rPr>
        <sz val="10"/>
        <color rgb="FF000000"/>
        <rFont val="Noto Sans CJK SC"/>
        <family val="2"/>
      </rPr>
      <t>優先順位（</t>
    </r>
    <r>
      <rPr>
        <sz val="10"/>
        <color rgb="FF000000"/>
        <rFont val="Meiryo UI"/>
        <family val="3"/>
        <charset val="128"/>
      </rPr>
      <t>Checking</t>
    </r>
    <r>
      <rPr>
        <sz val="10"/>
        <color rgb="FF000000"/>
        <rFont val="Noto Sans CJK SC"/>
        <family val="2"/>
      </rPr>
      <t xml:space="preserve">の自動化 → </t>
    </r>
    <r>
      <rPr>
        <sz val="10"/>
        <color rgb="FF000000"/>
        <rFont val="Meiryo UI"/>
        <family val="3"/>
        <charset val="128"/>
      </rPr>
      <t>CI → API → JMeter → Testing</t>
    </r>
    <r>
      <rPr>
        <sz val="10"/>
        <color rgb="FF000000"/>
        <rFont val="Noto Sans CJK SC"/>
        <family val="2"/>
      </rPr>
      <t>）で進める。</t>
    </r>
    <r>
      <rPr>
        <sz val="10"/>
        <color rgb="FF000000"/>
        <rFont val="Meiryo UI"/>
        <family val="3"/>
        <charset val="128"/>
      </rPr>
      <t>Testing</t>
    </r>
    <r>
      <rPr>
        <sz val="10"/>
        <color rgb="FF000000"/>
        <rFont val="Noto Sans CJK SC"/>
        <family val="2"/>
      </rPr>
      <t>は設計のみとし、余裕があれば追加する。</t>
    </r>
  </si>
  <si>
    <t>アクセストークンなどの秘密情報を、誤ってコミットする</t>
  </si>
  <si>
    <r>
      <rPr>
        <sz val="10"/>
        <color rgb="FF000000"/>
        <rFont val="Meiryo UI"/>
        <family val="3"/>
        <charset val="128"/>
      </rPr>
      <t>.env</t>
    </r>
    <r>
      <rPr>
        <sz val="10"/>
        <color rgb="FF000000"/>
        <rFont val="Noto Sans CJK SC"/>
        <family val="2"/>
      </rPr>
      <t>を</t>
    </r>
    <r>
      <rPr>
        <sz val="10"/>
        <color rgb="FF000000"/>
        <rFont val="Meiryo UI"/>
        <family val="3"/>
        <charset val="128"/>
      </rPr>
      <t>.gitignore</t>
    </r>
    <r>
      <rPr>
        <sz val="10"/>
        <color rgb="FF000000"/>
        <rFont val="Noto Sans CJK SC"/>
        <family val="2"/>
      </rPr>
      <t>に入れる。トークンはファイルや</t>
    </r>
    <r>
      <rPr>
        <sz val="10"/>
        <color rgb="FF000000"/>
        <rFont val="Meiryo UI"/>
        <family val="3"/>
        <charset val="128"/>
      </rPr>
      <t>README</t>
    </r>
    <r>
      <rPr>
        <sz val="10"/>
        <color rgb="FF000000"/>
        <rFont val="Noto Sans CJK SC"/>
        <family val="2"/>
      </rPr>
      <t>に書かない。コミット前に、</t>
    </r>
    <r>
      <rPr>
        <sz val="10"/>
        <color rgb="FF000000"/>
        <rFont val="Meiryo UI"/>
        <family val="3"/>
        <charset val="128"/>
      </rPr>
      <t>git status</t>
    </r>
    <r>
      <rPr>
        <sz val="10"/>
        <color rgb="FF000000"/>
        <rFont val="Noto Sans CJK SC"/>
        <family val="2"/>
      </rPr>
      <t>で確認する。</t>
    </r>
  </si>
  <si>
    <t>不具合・気づき</t>
  </si>
  <si>
    <r>
      <rPr>
        <sz val="10"/>
        <color rgb="FF595959"/>
        <rFont val="Noto Sans CJK SC"/>
        <family val="2"/>
      </rPr>
      <t>テスト中に見つけた「仕様の推定と違う挙動」や不具合を記録する。黄色のセルに入力する。</t>
    </r>
    <r>
      <rPr>
        <sz val="10"/>
        <color rgb="FF595959"/>
        <rFont val="Meiryo UI"/>
        <family val="3"/>
        <charset val="128"/>
      </rPr>
      <t>1</t>
    </r>
    <r>
      <rPr>
        <sz val="10"/>
        <color rgb="FF595959"/>
        <rFont val="Noto Sans CJK SC"/>
        <family val="2"/>
      </rPr>
      <t>行目は記入例なので、消して使う。</t>
    </r>
  </si>
  <si>
    <t>発見日</t>
  </si>
  <si>
    <r>
      <rPr>
        <b/>
        <sz val="10"/>
        <color rgb="FFFFFFFF"/>
        <rFont val="Noto Sans CJK SC"/>
        <family val="2"/>
      </rPr>
      <t>関連（</t>
    </r>
    <r>
      <rPr>
        <b/>
        <sz val="10"/>
        <color rgb="FFFFFFFF"/>
        <rFont val="Meiryo UI"/>
        <family val="3"/>
        <charset val="128"/>
      </rPr>
      <t>FV / TC</t>
    </r>
    <r>
      <rPr>
        <b/>
        <sz val="10"/>
        <color rgb="FFFFFFFF"/>
        <rFont val="Noto Sans CJK SC"/>
        <family val="2"/>
      </rPr>
      <t>）</t>
    </r>
  </si>
  <si>
    <t>内容</t>
  </si>
  <si>
    <t>再現手順</t>
  </si>
  <si>
    <t>期待していた結果</t>
  </si>
  <si>
    <t>実際の結果</t>
  </si>
  <si>
    <t>対応方針</t>
  </si>
  <si>
    <t>状態</t>
  </si>
  <si>
    <t>（記入例）</t>
  </si>
  <si>
    <t>FV-07-T</t>
  </si>
  <si>
    <t>郵便番号欄に英字を入れても、次の画面に進める</t>
  </si>
  <si>
    <r>
      <rPr>
        <i/>
        <sz val="10"/>
        <color rgb="FF595959"/>
        <rFont val="Meiryo UI"/>
        <family val="3"/>
        <charset val="128"/>
      </rPr>
      <t xml:space="preserve">1. </t>
    </r>
    <r>
      <rPr>
        <i/>
        <sz val="10"/>
        <color rgb="FF595959"/>
        <rFont val="Noto Sans CJK SC"/>
        <family val="2"/>
      </rPr>
      <t xml:space="preserve">商品をカートに入れてチェックアウトへ
</t>
    </r>
    <r>
      <rPr>
        <i/>
        <sz val="10"/>
        <color rgb="FF595959"/>
        <rFont val="Meiryo UI"/>
        <family val="3"/>
        <charset val="128"/>
      </rPr>
      <t xml:space="preserve">2. </t>
    </r>
    <r>
      <rPr>
        <i/>
        <sz val="10"/>
        <color rgb="FF595959"/>
        <rFont val="Noto Sans CJK SC"/>
        <family val="2"/>
      </rPr>
      <t>郵便番号に「</t>
    </r>
    <r>
      <rPr>
        <i/>
        <sz val="10"/>
        <color rgb="FF595959"/>
        <rFont val="Meiryo UI"/>
        <family val="3"/>
        <charset val="128"/>
      </rPr>
      <t>abc</t>
    </r>
    <r>
      <rPr>
        <i/>
        <sz val="10"/>
        <color rgb="FF595959"/>
        <rFont val="Noto Sans CJK SC"/>
        <family val="2"/>
      </rPr>
      <t xml:space="preserve">」を入力して </t>
    </r>
    <r>
      <rPr>
        <i/>
        <sz val="10"/>
        <color rgb="FF595959"/>
        <rFont val="Meiryo UI"/>
        <family val="3"/>
        <charset val="128"/>
      </rPr>
      <t xml:space="preserve">Continue </t>
    </r>
    <r>
      <rPr>
        <i/>
        <sz val="10"/>
        <color rgb="FF595959"/>
        <rFont val="Noto Sans CJK SC"/>
        <family val="2"/>
      </rPr>
      <t>を押す</t>
    </r>
  </si>
  <si>
    <t>形式のエラーが表示される（推定）</t>
  </si>
  <si>
    <t>エラーが出ず、確認画面に進んだ</t>
  </si>
  <si>
    <t>設計書を修正</t>
  </si>
  <si>
    <t>対応済み</t>
  </si>
  <si>
    <t>石井達也</t>
    <rPh sb="0" eb="4">
      <t>イシイタツヤ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</si>
</sst>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4">
    <font>
      <sz val="11"/>
      <color theme="1"/>
      <name val="Calibri"/>
      <family val="2"/>
      <charset val="1"/>
    </font>
    <font>
      <b/>
      <sz val="18"/>
      <color rgb="FF000000"/>
      <name val="Noto Sans CJK SC"/>
      <family val="2"/>
    </font>
    <font>
      <sz val="10"/>
      <color rgb="FF595959"/>
      <name val="Meiryo UI"/>
      <family val="3"/>
      <charset val="128"/>
    </font>
    <font>
      <sz val="10"/>
      <color rgb="FF595959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4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Meiryo UI"/>
      <family val="3"/>
      <charset val="128"/>
    </font>
    <font>
      <i/>
      <sz val="10"/>
      <color rgb="FF595959"/>
      <name val="Noto Sans CJK SC"/>
      <family val="2"/>
    </font>
    <font>
      <i/>
      <sz val="10"/>
      <color rgb="FF595959"/>
      <name val="Meiryo UI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F99"/>
        <bgColor rgb="FFFFEB9C"/>
      </patternFill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76" fontId="6" fillId="0" borderId="1" xfId="0" applyNumberFormat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9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177" fontId="6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177" fontId="7" fillId="4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176" fontId="6" fillId="3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top" wrapText="1"/>
    </xf>
    <xf numFmtId="176" fontId="12" fillId="3" borderId="1" xfId="0" applyNumberFormat="1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</cellXfs>
  <cellStyles count="1">
    <cellStyle name="標準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3"/>
  <sheetViews>
    <sheetView tabSelected="1" zoomScaleNormal="100" workbookViewId="0"/>
  </sheetViews>
  <sheetFormatPr defaultColWidth="8.6640625" defaultRowHeight="14.4"/>
  <cols>
    <col min="1" max="1" width="22" customWidth="1"/>
    <col min="2" max="2" width="100" customWidth="1"/>
  </cols>
  <sheetData>
    <row r="1" spans="1:2" ht="30" customHeight="1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5" t="s">
        <v>5</v>
      </c>
    </row>
    <row r="6" spans="1:2">
      <c r="A6" s="3" t="s">
        <v>6</v>
      </c>
      <c r="B6" s="6">
        <v>46315</v>
      </c>
    </row>
    <row r="7" spans="1:2">
      <c r="A7" s="3" t="s">
        <v>7</v>
      </c>
      <c r="B7" s="7" t="s">
        <v>397</v>
      </c>
    </row>
    <row r="8" spans="1:2">
      <c r="A8" s="3" t="s">
        <v>8</v>
      </c>
      <c r="B8" s="4" t="s">
        <v>9</v>
      </c>
    </row>
    <row r="9" spans="1:2" ht="27.6">
      <c r="A9" s="8" t="s">
        <v>10</v>
      </c>
      <c r="B9" s="4" t="s">
        <v>11</v>
      </c>
    </row>
    <row r="11" spans="1:2" ht="21.75" customHeight="1">
      <c r="A11" s="9" t="s">
        <v>12</v>
      </c>
      <c r="B11" s="10"/>
    </row>
    <row r="12" spans="1:2" ht="33" customHeight="1">
      <c r="A12" s="3" t="s">
        <v>13</v>
      </c>
      <c r="B12" s="5" t="s">
        <v>14</v>
      </c>
    </row>
    <row r="13" spans="1:2" ht="33" customHeight="1">
      <c r="A13" s="3" t="s">
        <v>15</v>
      </c>
      <c r="B13" s="4" t="s">
        <v>16</v>
      </c>
    </row>
    <row r="14" spans="1:2" ht="76.5" customHeight="1">
      <c r="A14" s="3" t="s">
        <v>17</v>
      </c>
      <c r="B14" s="4" t="s">
        <v>18</v>
      </c>
    </row>
    <row r="16" spans="1:2" ht="21.75" customHeight="1">
      <c r="A16" s="9" t="s">
        <v>19</v>
      </c>
      <c r="B16" s="10"/>
    </row>
    <row r="17" spans="1:2" ht="33" customHeight="1">
      <c r="A17" s="11" t="s">
        <v>20</v>
      </c>
      <c r="B17" s="5" t="s">
        <v>21</v>
      </c>
    </row>
    <row r="18" spans="1:2" ht="18" customHeight="1">
      <c r="A18" s="11" t="s">
        <v>22</v>
      </c>
      <c r="B18" s="5" t="s">
        <v>23</v>
      </c>
    </row>
    <row r="19" spans="1:2" ht="33" customHeight="1">
      <c r="A19" s="3" t="s">
        <v>24</v>
      </c>
      <c r="B19" s="5" t="s">
        <v>25</v>
      </c>
    </row>
    <row r="21" spans="1:2" ht="21.75" customHeight="1">
      <c r="A21" s="9" t="s">
        <v>26</v>
      </c>
      <c r="B21" s="10"/>
    </row>
    <row r="22" spans="1:2" ht="61.5" customHeight="1">
      <c r="A22" s="3" t="s">
        <v>27</v>
      </c>
      <c r="B22" s="4" t="s">
        <v>28</v>
      </c>
    </row>
    <row r="23" spans="1:2" ht="90.75" customHeight="1">
      <c r="A23" s="3" t="s">
        <v>29</v>
      </c>
      <c r="B23" s="4" t="s">
        <v>30</v>
      </c>
    </row>
    <row r="25" spans="1:2" ht="21.75" customHeight="1">
      <c r="A25" s="9" t="s">
        <v>31</v>
      </c>
      <c r="B25" s="10"/>
    </row>
    <row r="26" spans="1:2" ht="33" customHeight="1">
      <c r="A26" s="3" t="s">
        <v>32</v>
      </c>
      <c r="B26" s="4" t="s">
        <v>33</v>
      </c>
    </row>
    <row r="27" spans="1:2" ht="47.25" customHeight="1">
      <c r="A27" s="11" t="s">
        <v>34</v>
      </c>
      <c r="B27" s="5" t="s">
        <v>35</v>
      </c>
    </row>
    <row r="28" spans="1:2" ht="105" customHeight="1">
      <c r="A28" s="3" t="s">
        <v>36</v>
      </c>
      <c r="B28" s="4" t="s">
        <v>37</v>
      </c>
    </row>
    <row r="29" spans="1:2" ht="33" customHeight="1">
      <c r="A29" s="3" t="s">
        <v>38</v>
      </c>
      <c r="B29" s="4" t="s">
        <v>39</v>
      </c>
    </row>
    <row r="30" spans="1:2" ht="33" customHeight="1">
      <c r="A30" s="3" t="s">
        <v>40</v>
      </c>
      <c r="B30" s="5" t="s">
        <v>41</v>
      </c>
    </row>
    <row r="32" spans="1:2" ht="21.75" customHeight="1">
      <c r="A32" s="9" t="s">
        <v>42</v>
      </c>
      <c r="B32" s="10"/>
    </row>
    <row r="33" spans="1:2" ht="33" customHeight="1">
      <c r="A33" s="3" t="s">
        <v>43</v>
      </c>
      <c r="B33" s="5" t="s">
        <v>44</v>
      </c>
    </row>
    <row r="34" spans="1:2" ht="18" customHeight="1">
      <c r="A34" s="3" t="s">
        <v>45</v>
      </c>
      <c r="B34" s="5" t="s">
        <v>46</v>
      </c>
    </row>
    <row r="35" spans="1:2" ht="18" customHeight="1">
      <c r="A35" s="11" t="s">
        <v>47</v>
      </c>
      <c r="B35" s="5" t="s">
        <v>48</v>
      </c>
    </row>
    <row r="36" spans="1:2" ht="18" customHeight="1">
      <c r="A36" s="3" t="s">
        <v>49</v>
      </c>
      <c r="B36" s="5" t="s">
        <v>50</v>
      </c>
    </row>
    <row r="37" spans="1:2" ht="33" customHeight="1">
      <c r="A37" s="3" t="s">
        <v>51</v>
      </c>
      <c r="B37" s="5" t="s">
        <v>52</v>
      </c>
    </row>
    <row r="39" spans="1:2" ht="21.75" customHeight="1">
      <c r="A39" s="9" t="s">
        <v>53</v>
      </c>
      <c r="B39" s="10"/>
    </row>
    <row r="40" spans="1:2" ht="18" customHeight="1">
      <c r="A40" s="3" t="s">
        <v>32</v>
      </c>
      <c r="B40" s="4" t="s">
        <v>54</v>
      </c>
    </row>
    <row r="41" spans="1:2" ht="33" customHeight="1">
      <c r="A41" s="3" t="s">
        <v>55</v>
      </c>
      <c r="B41" s="5" t="s">
        <v>56</v>
      </c>
    </row>
    <row r="42" spans="1:2" ht="33" customHeight="1">
      <c r="A42" s="3" t="s">
        <v>57</v>
      </c>
      <c r="B42" s="5" t="s">
        <v>58</v>
      </c>
    </row>
    <row r="43" spans="1:2" ht="18" customHeight="1">
      <c r="A43" s="11" t="s">
        <v>59</v>
      </c>
      <c r="B43" s="4" t="s">
        <v>60</v>
      </c>
    </row>
    <row r="44" spans="1:2" ht="18" customHeight="1">
      <c r="A44" s="3" t="s">
        <v>61</v>
      </c>
      <c r="B44" s="4" t="s">
        <v>62</v>
      </c>
    </row>
    <row r="46" spans="1:2" ht="21.75" customHeight="1">
      <c r="A46" s="9" t="s">
        <v>63</v>
      </c>
      <c r="B46" s="10"/>
    </row>
    <row r="47" spans="1:2" ht="47.25" customHeight="1">
      <c r="A47" s="3" t="s">
        <v>64</v>
      </c>
      <c r="B47" s="4" t="s">
        <v>65</v>
      </c>
    </row>
    <row r="48" spans="1:2" ht="61.5" customHeight="1">
      <c r="A48" s="3" t="s">
        <v>66</v>
      </c>
      <c r="B48" s="4" t="s">
        <v>67</v>
      </c>
    </row>
    <row r="49" spans="1:2" ht="18" customHeight="1">
      <c r="A49" s="3" t="s">
        <v>68</v>
      </c>
      <c r="B49" s="4" t="s">
        <v>69</v>
      </c>
    </row>
    <row r="51" spans="1:2" ht="21.75" customHeight="1">
      <c r="A51" s="9" t="s">
        <v>70</v>
      </c>
      <c r="B51" s="10"/>
    </row>
    <row r="52" spans="1:2" ht="47.25" customHeight="1">
      <c r="A52" s="3" t="s">
        <v>71</v>
      </c>
      <c r="B52" s="4" t="s">
        <v>72</v>
      </c>
    </row>
    <row r="53" spans="1:2" ht="18" customHeight="1">
      <c r="A53" s="3" t="s">
        <v>73</v>
      </c>
      <c r="B53" s="4" t="s">
        <v>74</v>
      </c>
    </row>
  </sheetData>
  <phoneticPr fontId="13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"/>
  <sheetViews>
    <sheetView zoomScaleNormal="100" workbookViewId="0"/>
  </sheetViews>
  <sheetFormatPr defaultColWidth="8.6640625" defaultRowHeight="14.4"/>
  <cols>
    <col min="1" max="1" width="26" customWidth="1"/>
    <col min="2" max="3" width="12" customWidth="1"/>
    <col min="4" max="7" width="10" customWidth="1"/>
    <col min="8" max="8" width="22" customWidth="1"/>
  </cols>
  <sheetData>
    <row r="1" spans="1:8" ht="17.399999999999999">
      <c r="A1" s="12" t="s">
        <v>75</v>
      </c>
    </row>
    <row r="2" spans="1:8">
      <c r="A2" s="13" t="s">
        <v>76</v>
      </c>
    </row>
    <row r="4" spans="1:8" ht="24" customHeight="1">
      <c r="A4" s="14" t="s">
        <v>77</v>
      </c>
      <c r="B4" s="14" t="s">
        <v>78</v>
      </c>
      <c r="C4" s="14" t="s">
        <v>79</v>
      </c>
      <c r="D4" s="14" t="s">
        <v>80</v>
      </c>
      <c r="E4" s="14" t="s">
        <v>81</v>
      </c>
      <c r="F4" s="14" t="s">
        <v>82</v>
      </c>
      <c r="G4" s="14" t="s">
        <v>83</v>
      </c>
      <c r="H4" s="14" t="s">
        <v>84</v>
      </c>
    </row>
    <row r="5" spans="1:8">
      <c r="A5" s="3" t="s">
        <v>85</v>
      </c>
      <c r="B5" s="15">
        <f>COUNTIF(テスト実施記録!$B$6:$B$65,A5)</f>
        <v>41</v>
      </c>
      <c r="C5" s="15">
        <f>COUNTIFS(テスト実施記録!$B$6:$B$65,A5,テスト実施記録!$I$6:$I$65,"自動化（今回）")</f>
        <v>11</v>
      </c>
      <c r="D5" s="15">
        <f>COUNTIFS(テスト実施記録!$B$6:$B$65,A5,テスト実施記録!$I$6:$I$65,"自動化（今回）",テスト実施記録!$K$6:$K$65,"合格")</f>
        <v>0</v>
      </c>
      <c r="E5" s="15">
        <f>COUNTIFS(テスト実施記録!$B$6:$B$65,A5,テスト実施記録!$I$6:$I$65,"自動化（今回）",テスト実施記録!$K$6:$K$65,"不合格")</f>
        <v>0</v>
      </c>
      <c r="F5" s="15">
        <f>COUNTIFS(テスト実施記録!$B$6:$B$65,A5,テスト実施記録!$I$6:$I$65,"自動化（今回）",テスト実施記録!$K$6:$K$65,"保留")</f>
        <v>0</v>
      </c>
      <c r="G5" s="15">
        <f>COUNTIFS(テスト実施記録!$B$6:$B$65,A5,テスト実施記録!$I$6:$I$65,"自動化（今回）",テスト実施記録!$K$6:$K$65,"未実施")</f>
        <v>11</v>
      </c>
      <c r="H5" s="16">
        <f>IF(C5=0,0,D5/C5)</f>
        <v>0</v>
      </c>
    </row>
    <row r="6" spans="1:8">
      <c r="A6" s="3" t="s">
        <v>86</v>
      </c>
      <c r="B6" s="15">
        <f>COUNTIF(テスト実施記録!$B$6:$B$65,A6)</f>
        <v>13</v>
      </c>
      <c r="C6" s="15">
        <f>COUNTIFS(テスト実施記録!$B$6:$B$65,A6,テスト実施記録!$I$6:$I$65,"自動化（今回）")</f>
        <v>6</v>
      </c>
      <c r="D6" s="15">
        <f>COUNTIFS(テスト実施記録!$B$6:$B$65,A6,テスト実施記録!$I$6:$I$65,"自動化（今回）",テスト実施記録!$K$6:$K$65,"合格")</f>
        <v>0</v>
      </c>
      <c r="E6" s="15">
        <f>COUNTIFS(テスト実施記録!$B$6:$B$65,A6,テスト実施記録!$I$6:$I$65,"自動化（今回）",テスト実施記録!$K$6:$K$65,"不合格")</f>
        <v>0</v>
      </c>
      <c r="F6" s="15">
        <f>COUNTIFS(テスト実施記録!$B$6:$B$65,A6,テスト実施記録!$I$6:$I$65,"自動化（今回）",テスト実施記録!$K$6:$K$65,"保留")</f>
        <v>0</v>
      </c>
      <c r="G6" s="15">
        <f>COUNTIFS(テスト実施記録!$B$6:$B$65,A6,テスト実施記録!$I$6:$I$65,"自動化（今回）",テスト実施記録!$K$6:$K$65,"未実施")</f>
        <v>6</v>
      </c>
      <c r="H6" s="16">
        <f>IF(C6=0,0,D6/C6)</f>
        <v>0</v>
      </c>
    </row>
    <row r="7" spans="1:8">
      <c r="A7" s="11" t="s">
        <v>22</v>
      </c>
      <c r="B7" s="15">
        <f>COUNTIF(テスト実施記録!$B$6:$B$65,A7)</f>
        <v>6</v>
      </c>
      <c r="C7" s="15">
        <f>COUNTIFS(テスト実施記録!$B$6:$B$65,A7,テスト実施記録!$I$6:$I$65,"自動化（今回）")</f>
        <v>6</v>
      </c>
      <c r="D7" s="15">
        <f>COUNTIFS(テスト実施記録!$B$6:$B$65,A7,テスト実施記録!$I$6:$I$65,"自動化（今回）",テスト実施記録!$K$6:$K$65,"合格")</f>
        <v>0</v>
      </c>
      <c r="E7" s="15">
        <f>COUNTIFS(テスト実施記録!$B$6:$B$65,A7,テスト実施記録!$I$6:$I$65,"自動化（今回）",テスト実施記録!$K$6:$K$65,"不合格")</f>
        <v>0</v>
      </c>
      <c r="F7" s="15">
        <f>COUNTIFS(テスト実施記録!$B$6:$B$65,A7,テスト実施記録!$I$6:$I$65,"自動化（今回）",テスト実施記録!$K$6:$K$65,"保留")</f>
        <v>0</v>
      </c>
      <c r="G7" s="15">
        <f>COUNTIFS(テスト実施記録!$B$6:$B$65,A7,テスト実施記録!$I$6:$I$65,"自動化（今回）",テスト実施記録!$K$6:$K$65,"未実施")</f>
        <v>6</v>
      </c>
      <c r="H7" s="16">
        <f>IF(C7=0,0,D7/C7)</f>
        <v>0</v>
      </c>
    </row>
    <row r="8" spans="1:8">
      <c r="A8" s="17" t="s">
        <v>87</v>
      </c>
      <c r="B8" s="18">
        <f t="shared" ref="B8:G8" si="0">SUM(B5:B7)</f>
        <v>60</v>
      </c>
      <c r="C8" s="18">
        <f t="shared" si="0"/>
        <v>23</v>
      </c>
      <c r="D8" s="18">
        <f t="shared" si="0"/>
        <v>0</v>
      </c>
      <c r="E8" s="18">
        <f t="shared" si="0"/>
        <v>0</v>
      </c>
      <c r="F8" s="18">
        <f t="shared" si="0"/>
        <v>0</v>
      </c>
      <c r="G8" s="18">
        <f t="shared" si="0"/>
        <v>23</v>
      </c>
      <c r="H8" s="19">
        <f>IF(C8=0,0,D8/C8)</f>
        <v>0</v>
      </c>
    </row>
    <row r="10" spans="1:8" ht="24" customHeight="1">
      <c r="A10" s="14" t="s">
        <v>88</v>
      </c>
      <c r="B10" s="14" t="s">
        <v>78</v>
      </c>
      <c r="C10" s="14" t="s">
        <v>79</v>
      </c>
      <c r="D10" s="14" t="s">
        <v>80</v>
      </c>
      <c r="E10" s="14" t="s">
        <v>81</v>
      </c>
      <c r="F10" s="14" t="s">
        <v>82</v>
      </c>
      <c r="G10" s="14" t="s">
        <v>83</v>
      </c>
      <c r="H10" s="14" t="s">
        <v>84</v>
      </c>
    </row>
    <row r="11" spans="1:8">
      <c r="A11" s="11" t="s">
        <v>89</v>
      </c>
      <c r="B11" s="15">
        <f>COUNTIF(テスト実施記録!$F$6:$F$65,A11)</f>
        <v>26</v>
      </c>
      <c r="C11" s="15">
        <f>COUNTIFS(テスト実施記録!$F$6:$F$65,A11,テスト実施記録!$I$6:$I$65,"自動化（今回）")</f>
        <v>17</v>
      </c>
      <c r="D11" s="15">
        <f>COUNTIFS(テスト実施記録!$F$6:$F$65,A11,テスト実施記録!$I$6:$I$65,"自動化（今回）",テスト実施記録!$K$6:$K$65,"合格")</f>
        <v>0</v>
      </c>
      <c r="E11" s="15">
        <f>COUNTIFS(テスト実施記録!$F$6:$F$65,A11,テスト実施記録!$I$6:$I$65,"自動化（今回）",テスト実施記録!$K$6:$K$65,"不合格")</f>
        <v>0</v>
      </c>
      <c r="F11" s="15">
        <f>COUNTIFS(テスト実施記録!$F$6:$F$65,A11,テスト実施記録!$I$6:$I$65,"自動化（今回）",テスト実施記録!$K$6:$K$65,"保留")</f>
        <v>0</v>
      </c>
      <c r="G11" s="15">
        <f>COUNTIFS(テスト実施記録!$F$6:$F$65,A11,テスト実施記録!$I$6:$I$65,"自動化（今回）",テスト実施記録!$K$6:$K$65,"未実施")</f>
        <v>17</v>
      </c>
      <c r="H11" s="16">
        <f>IF(C11=0,0,D11/C11)</f>
        <v>0</v>
      </c>
    </row>
    <row r="12" spans="1:8">
      <c r="A12" s="11" t="s">
        <v>90</v>
      </c>
      <c r="B12" s="15">
        <f>COUNTIF(テスト実施記録!$F$6:$F$65,A12)</f>
        <v>20</v>
      </c>
      <c r="C12" s="15">
        <f>COUNTIFS(テスト実施記録!$F$6:$F$65,A12,テスト実施記録!$I$6:$I$65,"自動化（今回）")</f>
        <v>0</v>
      </c>
      <c r="D12" s="15">
        <f>COUNTIFS(テスト実施記録!$F$6:$F$65,A12,テスト実施記録!$I$6:$I$65,"自動化（今回）",テスト実施記録!$K$6:$K$65,"合格")</f>
        <v>0</v>
      </c>
      <c r="E12" s="15">
        <f>COUNTIFS(テスト実施記録!$F$6:$F$65,A12,テスト実施記録!$I$6:$I$65,"自動化（今回）",テスト実施記録!$K$6:$K$65,"不合格")</f>
        <v>0</v>
      </c>
      <c r="F12" s="15">
        <f>COUNTIFS(テスト実施記録!$F$6:$F$65,A12,テスト実施記録!$I$6:$I$65,"自動化（今回）",テスト実施記録!$K$6:$K$65,"保留")</f>
        <v>0</v>
      </c>
      <c r="G12" s="15">
        <f>COUNTIFS(テスト実施記録!$F$6:$F$65,A12,テスト実施記録!$I$6:$I$65,"自動化（今回）",テスト実施記録!$K$6:$K$65,"未実施")</f>
        <v>0</v>
      </c>
      <c r="H12" s="16">
        <f>IF(C12=0,0,D12/C12)</f>
        <v>0</v>
      </c>
    </row>
    <row r="13" spans="1:8">
      <c r="A13" s="11" t="s">
        <v>91</v>
      </c>
      <c r="B13" s="15">
        <f>COUNTIF(テスト実施記録!$F$6:$F$65,A13)</f>
        <v>8</v>
      </c>
      <c r="C13" s="15">
        <f>COUNTIFS(テスト実施記録!$F$6:$F$65,A13,テスト実施記録!$I$6:$I$65,"自動化（今回）")</f>
        <v>0</v>
      </c>
      <c r="D13" s="15">
        <f>COUNTIFS(テスト実施記録!$F$6:$F$65,A13,テスト実施記録!$I$6:$I$65,"自動化（今回）",テスト実施記録!$K$6:$K$65,"合格")</f>
        <v>0</v>
      </c>
      <c r="E13" s="15">
        <f>COUNTIFS(テスト実施記録!$F$6:$F$65,A13,テスト実施記録!$I$6:$I$65,"自動化（今回）",テスト実施記録!$K$6:$K$65,"不合格")</f>
        <v>0</v>
      </c>
      <c r="F13" s="15">
        <f>COUNTIFS(テスト実施記録!$F$6:$F$65,A13,テスト実施記録!$I$6:$I$65,"自動化（今回）",テスト実施記録!$K$6:$K$65,"保留")</f>
        <v>0</v>
      </c>
      <c r="G13" s="15">
        <f>COUNTIFS(テスト実施記録!$F$6:$F$65,A13,テスト実施記録!$I$6:$I$65,"自動化（今回）",テスト実施記録!$K$6:$K$65,"未実施")</f>
        <v>0</v>
      </c>
      <c r="H13" s="16">
        <f>IF(C13=0,0,D13/C13)</f>
        <v>0</v>
      </c>
    </row>
    <row r="14" spans="1:8">
      <c r="A14" s="3" t="s">
        <v>92</v>
      </c>
      <c r="B14" s="15">
        <f>COUNTIF(テスト実施記録!$F$6:$F$65,"－")</f>
        <v>6</v>
      </c>
      <c r="C14" s="15">
        <f>COUNTIFS(テスト実施記録!$F$6:$F$65,"－",テスト実施記録!$I$6:$I$65,"自動化（今回）")</f>
        <v>6</v>
      </c>
      <c r="D14" s="15">
        <f>COUNTIFS(テスト実施記録!$F$6:$F$65,"－",テスト実施記録!$I$6:$I$65,"自動化（今回）",テスト実施記録!$K$6:$K$65,"合格")</f>
        <v>0</v>
      </c>
      <c r="E14" s="15">
        <f>COUNTIFS(テスト実施記録!$F$6:$F$65,"－",テスト実施記録!$I$6:$I$65,"自動化（今回）",テスト実施記録!$K$6:$K$65,"不合格")</f>
        <v>0</v>
      </c>
      <c r="F14" s="15">
        <f>COUNTIFS(テスト実施記録!$F$6:$F$65,"－",テスト実施記録!$I$6:$I$65,"自動化（今回）",テスト実施記録!$K$6:$K$65,"保留")</f>
        <v>0</v>
      </c>
      <c r="G14" s="15">
        <f>COUNTIFS(テスト実施記録!$F$6:$F$65,"－",テスト実施記録!$I$6:$I$65,"自動化（今回）",テスト実施記録!$K$6:$K$65,"未実施")</f>
        <v>6</v>
      </c>
      <c r="H14" s="16">
        <f>IF(C14=0,0,D14/C14)</f>
        <v>0</v>
      </c>
    </row>
    <row r="16" spans="1:8" ht="31.5" customHeight="1">
      <c r="A16" s="3" t="s">
        <v>93</v>
      </c>
      <c r="B16" s="20" t="str">
        <f>IF(AND(C8&gt;0,D8=C8),"達成","未達")</f>
        <v>未達</v>
      </c>
    </row>
    <row r="18" spans="1:1">
      <c r="A18" s="21" t="s">
        <v>94</v>
      </c>
    </row>
    <row r="19" spans="1:1">
      <c r="A19" s="13" t="s">
        <v>95</v>
      </c>
    </row>
    <row r="20" spans="1:1">
      <c r="A20" s="13" t="s">
        <v>96</v>
      </c>
    </row>
    <row r="21" spans="1:1">
      <c r="A21" s="13" t="s">
        <v>97</v>
      </c>
    </row>
  </sheetData>
  <phoneticPr fontId="13"/>
  <conditionalFormatting sqref="B16">
    <cfRule type="cellIs" dxfId="5" priority="2" operator="equal">
      <formula>"達成"</formula>
    </cfRule>
    <cfRule type="cellIs" dxfId="4" priority="3" operator="equal">
      <formula>"未達"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/>
  <cols>
    <col min="1" max="1" width="5" customWidth="1"/>
    <col min="2" max="2" width="9" customWidth="1"/>
    <col min="3" max="3" width="10" customWidth="1"/>
    <col min="4" max="4" width="20" customWidth="1"/>
    <col min="5" max="5" width="11" customWidth="1"/>
    <col min="6" max="6" width="8" customWidth="1"/>
    <col min="7" max="7" width="52" customWidth="1"/>
    <col min="8" max="9" width="14" customWidth="1"/>
    <col min="10" max="10" width="20" customWidth="1"/>
    <col min="11" max="11" width="10" customWidth="1"/>
    <col min="12" max="12" width="12" customWidth="1"/>
    <col min="13" max="13" width="30" customWidth="1"/>
  </cols>
  <sheetData>
    <row r="1" spans="1:13" ht="17.399999999999999">
      <c r="A1" s="12" t="s">
        <v>98</v>
      </c>
    </row>
    <row r="2" spans="1:13">
      <c r="A2" s="13" t="s">
        <v>99</v>
      </c>
    </row>
    <row r="3" spans="1:13">
      <c r="A3" s="13" t="s">
        <v>100</v>
      </c>
    </row>
    <row r="5" spans="1:13" ht="24" customHeight="1">
      <c r="A5" s="22" t="s">
        <v>101</v>
      </c>
      <c r="B5" s="14" t="s">
        <v>77</v>
      </c>
      <c r="C5" s="14" t="s">
        <v>102</v>
      </c>
      <c r="D5" s="14" t="s">
        <v>103</v>
      </c>
      <c r="E5" s="14" t="s">
        <v>104</v>
      </c>
      <c r="F5" s="14" t="s">
        <v>88</v>
      </c>
      <c r="G5" s="14" t="s">
        <v>105</v>
      </c>
      <c r="H5" s="14" t="s">
        <v>106</v>
      </c>
      <c r="I5" s="14" t="s">
        <v>107</v>
      </c>
      <c r="J5" s="14" t="s">
        <v>49</v>
      </c>
      <c r="K5" s="14" t="s">
        <v>108</v>
      </c>
      <c r="L5" s="14" t="s">
        <v>109</v>
      </c>
      <c r="M5" s="14" t="s">
        <v>110</v>
      </c>
    </row>
    <row r="6" spans="1:13" ht="18" customHeight="1">
      <c r="A6" s="15">
        <v>1</v>
      </c>
      <c r="B6" s="23" t="s">
        <v>85</v>
      </c>
      <c r="C6" s="15" t="s">
        <v>111</v>
      </c>
      <c r="D6" s="4" t="s">
        <v>112</v>
      </c>
      <c r="E6" s="23" t="s">
        <v>113</v>
      </c>
      <c r="F6" s="15" t="s">
        <v>89</v>
      </c>
      <c r="G6" s="4" t="s">
        <v>114</v>
      </c>
      <c r="H6" s="15" t="s">
        <v>115</v>
      </c>
      <c r="I6" s="23" t="s">
        <v>116</v>
      </c>
      <c r="J6" s="5" t="s">
        <v>117</v>
      </c>
      <c r="K6" s="24" t="s">
        <v>83</v>
      </c>
      <c r="L6" s="25"/>
      <c r="M6" s="7"/>
    </row>
    <row r="7" spans="1:13" ht="18" customHeight="1">
      <c r="A7" s="23">
        <v>2</v>
      </c>
      <c r="B7" s="23" t="s">
        <v>85</v>
      </c>
      <c r="C7" s="15" t="s">
        <v>118</v>
      </c>
      <c r="D7" s="4" t="s">
        <v>112</v>
      </c>
      <c r="E7" s="23" t="s">
        <v>119</v>
      </c>
      <c r="F7" s="15" t="s">
        <v>89</v>
      </c>
      <c r="G7" s="4" t="s">
        <v>120</v>
      </c>
      <c r="H7" s="15" t="s">
        <v>121</v>
      </c>
      <c r="I7" s="23" t="s">
        <v>116</v>
      </c>
      <c r="J7" s="5" t="s">
        <v>117</v>
      </c>
      <c r="K7" s="24" t="s">
        <v>83</v>
      </c>
      <c r="L7" s="25"/>
      <c r="M7" s="7"/>
    </row>
    <row r="8" spans="1:13" ht="18" customHeight="1">
      <c r="A8" s="23">
        <v>3</v>
      </c>
      <c r="B8" s="23" t="s">
        <v>85</v>
      </c>
      <c r="C8" s="15" t="s">
        <v>122</v>
      </c>
      <c r="D8" s="4" t="s">
        <v>112</v>
      </c>
      <c r="E8" s="23" t="s">
        <v>119</v>
      </c>
      <c r="F8" s="15" t="s">
        <v>89</v>
      </c>
      <c r="G8" s="4" t="s">
        <v>123</v>
      </c>
      <c r="H8" s="15" t="s">
        <v>124</v>
      </c>
      <c r="I8" s="23" t="s">
        <v>116</v>
      </c>
      <c r="J8" s="5" t="s">
        <v>117</v>
      </c>
      <c r="K8" s="24" t="s">
        <v>83</v>
      </c>
      <c r="L8" s="25"/>
      <c r="M8" s="7"/>
    </row>
    <row r="9" spans="1:13" ht="18" customHeight="1">
      <c r="A9" s="23">
        <v>4</v>
      </c>
      <c r="B9" s="23" t="s">
        <v>85</v>
      </c>
      <c r="C9" s="15" t="s">
        <v>125</v>
      </c>
      <c r="D9" s="4" t="s">
        <v>112</v>
      </c>
      <c r="E9" s="23" t="s">
        <v>126</v>
      </c>
      <c r="F9" s="15" t="s">
        <v>89</v>
      </c>
      <c r="G9" s="4" t="s">
        <v>127</v>
      </c>
      <c r="H9" s="15" t="s">
        <v>115</v>
      </c>
      <c r="I9" s="23" t="s">
        <v>128</v>
      </c>
      <c r="J9" s="4" t="s">
        <v>129</v>
      </c>
      <c r="K9" s="24" t="s">
        <v>129</v>
      </c>
      <c r="L9" s="25"/>
      <c r="M9" s="7"/>
    </row>
    <row r="10" spans="1:13" ht="18" customHeight="1">
      <c r="A10" s="23">
        <v>5</v>
      </c>
      <c r="B10" s="23" t="s">
        <v>85</v>
      </c>
      <c r="C10" s="15" t="s">
        <v>130</v>
      </c>
      <c r="D10" s="4" t="s">
        <v>131</v>
      </c>
      <c r="E10" s="15" t="s">
        <v>132</v>
      </c>
      <c r="F10" s="15" t="s">
        <v>89</v>
      </c>
      <c r="G10" s="4" t="s">
        <v>133</v>
      </c>
      <c r="H10" s="15" t="s">
        <v>134</v>
      </c>
      <c r="I10" s="23" t="s">
        <v>128</v>
      </c>
      <c r="J10" s="4" t="s">
        <v>129</v>
      </c>
      <c r="K10" s="24" t="s">
        <v>129</v>
      </c>
      <c r="L10" s="25"/>
      <c r="M10" s="26" t="s">
        <v>135</v>
      </c>
    </row>
    <row r="11" spans="1:13" ht="18" customHeight="1">
      <c r="A11" s="23">
        <v>6</v>
      </c>
      <c r="B11" s="23" t="s">
        <v>85</v>
      </c>
      <c r="C11" s="15" t="s">
        <v>136</v>
      </c>
      <c r="D11" s="4" t="s">
        <v>131</v>
      </c>
      <c r="E11" s="15" t="s">
        <v>132</v>
      </c>
      <c r="F11" s="15" t="s">
        <v>89</v>
      </c>
      <c r="G11" s="4" t="s">
        <v>137</v>
      </c>
      <c r="H11" s="15" t="s">
        <v>134</v>
      </c>
      <c r="I11" s="23" t="s">
        <v>128</v>
      </c>
      <c r="J11" s="4" t="s">
        <v>129</v>
      </c>
      <c r="K11" s="24" t="s">
        <v>129</v>
      </c>
      <c r="L11" s="25"/>
      <c r="M11" s="26" t="s">
        <v>135</v>
      </c>
    </row>
    <row r="12" spans="1:13" ht="18" customHeight="1">
      <c r="A12" s="23">
        <v>7</v>
      </c>
      <c r="B12" s="23" t="s">
        <v>85</v>
      </c>
      <c r="C12" s="15" t="s">
        <v>138</v>
      </c>
      <c r="D12" s="4" t="s">
        <v>139</v>
      </c>
      <c r="E12" s="23" t="s">
        <v>140</v>
      </c>
      <c r="F12" s="15" t="s">
        <v>90</v>
      </c>
      <c r="G12" s="4" t="s">
        <v>141</v>
      </c>
      <c r="H12" s="15" t="s">
        <v>142</v>
      </c>
      <c r="I12" s="23" t="s">
        <v>128</v>
      </c>
      <c r="J12" s="4" t="s">
        <v>129</v>
      </c>
      <c r="K12" s="24" t="s">
        <v>129</v>
      </c>
      <c r="L12" s="25"/>
      <c r="M12" s="26"/>
    </row>
    <row r="13" spans="1:13" ht="18" customHeight="1">
      <c r="A13" s="23">
        <v>8</v>
      </c>
      <c r="B13" s="23" t="s">
        <v>85</v>
      </c>
      <c r="C13" s="15" t="s">
        <v>143</v>
      </c>
      <c r="D13" s="4" t="s">
        <v>144</v>
      </c>
      <c r="E13" s="23" t="s">
        <v>140</v>
      </c>
      <c r="F13" s="15" t="s">
        <v>90</v>
      </c>
      <c r="G13" s="4" t="s">
        <v>145</v>
      </c>
      <c r="H13" s="15" t="s">
        <v>146</v>
      </c>
      <c r="I13" s="23" t="s">
        <v>128</v>
      </c>
      <c r="J13" s="4" t="s">
        <v>129</v>
      </c>
      <c r="K13" s="24" t="s">
        <v>129</v>
      </c>
      <c r="L13" s="25"/>
      <c r="M13" s="26"/>
    </row>
    <row r="14" spans="1:13" ht="18" customHeight="1">
      <c r="A14" s="23">
        <v>9</v>
      </c>
      <c r="B14" s="23" t="s">
        <v>85</v>
      </c>
      <c r="C14" s="15" t="s">
        <v>147</v>
      </c>
      <c r="D14" s="4" t="s">
        <v>148</v>
      </c>
      <c r="E14" s="23" t="s">
        <v>140</v>
      </c>
      <c r="F14" s="15" t="s">
        <v>90</v>
      </c>
      <c r="G14" s="4" t="s">
        <v>149</v>
      </c>
      <c r="H14" s="15" t="s">
        <v>150</v>
      </c>
      <c r="I14" s="23" t="s">
        <v>128</v>
      </c>
      <c r="J14" s="4" t="s">
        <v>129</v>
      </c>
      <c r="K14" s="24" t="s">
        <v>129</v>
      </c>
      <c r="L14" s="25"/>
      <c r="M14" s="26"/>
    </row>
    <row r="15" spans="1:13" ht="18" customHeight="1">
      <c r="A15" s="23">
        <v>10</v>
      </c>
      <c r="B15" s="23" t="s">
        <v>85</v>
      </c>
      <c r="C15" s="15" t="s">
        <v>151</v>
      </c>
      <c r="D15" s="4" t="s">
        <v>152</v>
      </c>
      <c r="E15" s="23" t="s">
        <v>113</v>
      </c>
      <c r="F15" s="15" t="s">
        <v>89</v>
      </c>
      <c r="G15" s="4" t="s">
        <v>153</v>
      </c>
      <c r="H15" s="15" t="s">
        <v>154</v>
      </c>
      <c r="I15" s="23" t="s">
        <v>116</v>
      </c>
      <c r="J15" s="5" t="s">
        <v>117</v>
      </c>
      <c r="K15" s="24" t="s">
        <v>83</v>
      </c>
      <c r="L15" s="25"/>
      <c r="M15" s="26"/>
    </row>
    <row r="16" spans="1:13" ht="18" customHeight="1">
      <c r="A16" s="23">
        <v>11</v>
      </c>
      <c r="B16" s="23" t="s">
        <v>85</v>
      </c>
      <c r="C16" s="15" t="s">
        <v>155</v>
      </c>
      <c r="D16" s="4" t="s">
        <v>152</v>
      </c>
      <c r="E16" s="23" t="s">
        <v>156</v>
      </c>
      <c r="F16" s="15" t="s">
        <v>90</v>
      </c>
      <c r="G16" s="4" t="s">
        <v>157</v>
      </c>
      <c r="H16" s="15" t="s">
        <v>154</v>
      </c>
      <c r="I16" s="23" t="s">
        <v>128</v>
      </c>
      <c r="J16" s="4" t="s">
        <v>129</v>
      </c>
      <c r="K16" s="24" t="s">
        <v>129</v>
      </c>
      <c r="L16" s="25"/>
      <c r="M16" s="26"/>
    </row>
    <row r="17" spans="1:13" ht="18" customHeight="1">
      <c r="A17" s="23">
        <v>12</v>
      </c>
      <c r="B17" s="23" t="s">
        <v>85</v>
      </c>
      <c r="C17" s="15" t="s">
        <v>158</v>
      </c>
      <c r="D17" s="4" t="s">
        <v>159</v>
      </c>
      <c r="E17" s="23" t="s">
        <v>160</v>
      </c>
      <c r="F17" s="15" t="s">
        <v>89</v>
      </c>
      <c r="G17" s="4" t="s">
        <v>161</v>
      </c>
      <c r="H17" s="15" t="s">
        <v>162</v>
      </c>
      <c r="I17" s="23" t="s">
        <v>128</v>
      </c>
      <c r="J17" s="4" t="s">
        <v>129</v>
      </c>
      <c r="K17" s="24" t="s">
        <v>129</v>
      </c>
      <c r="L17" s="25"/>
      <c r="M17" s="26"/>
    </row>
    <row r="18" spans="1:13" ht="18" customHeight="1">
      <c r="A18" s="23">
        <v>13</v>
      </c>
      <c r="B18" s="23" t="s">
        <v>85</v>
      </c>
      <c r="C18" s="15" t="s">
        <v>163</v>
      </c>
      <c r="D18" s="4" t="s">
        <v>159</v>
      </c>
      <c r="E18" s="23" t="s">
        <v>160</v>
      </c>
      <c r="F18" s="15" t="s">
        <v>89</v>
      </c>
      <c r="G18" s="4" t="s">
        <v>164</v>
      </c>
      <c r="H18" s="15" t="s">
        <v>162</v>
      </c>
      <c r="I18" s="23" t="s">
        <v>128</v>
      </c>
      <c r="J18" s="4" t="s">
        <v>129</v>
      </c>
      <c r="K18" s="24" t="s">
        <v>129</v>
      </c>
      <c r="L18" s="25"/>
      <c r="M18" s="26"/>
    </row>
    <row r="19" spans="1:13" ht="18" customHeight="1">
      <c r="A19" s="23">
        <v>14</v>
      </c>
      <c r="B19" s="23" t="s">
        <v>85</v>
      </c>
      <c r="C19" s="15" t="s">
        <v>165</v>
      </c>
      <c r="D19" s="4" t="s">
        <v>159</v>
      </c>
      <c r="E19" s="23" t="s">
        <v>160</v>
      </c>
      <c r="F19" s="15" t="s">
        <v>89</v>
      </c>
      <c r="G19" s="4" t="s">
        <v>166</v>
      </c>
      <c r="H19" s="15" t="s">
        <v>162</v>
      </c>
      <c r="I19" s="23" t="s">
        <v>128</v>
      </c>
      <c r="J19" s="4" t="s">
        <v>129</v>
      </c>
      <c r="K19" s="24" t="s">
        <v>129</v>
      </c>
      <c r="L19" s="25"/>
      <c r="M19" s="26"/>
    </row>
    <row r="20" spans="1:13" ht="18" customHeight="1">
      <c r="A20" s="23">
        <v>15</v>
      </c>
      <c r="B20" s="23" t="s">
        <v>85</v>
      </c>
      <c r="C20" s="15" t="s">
        <v>167</v>
      </c>
      <c r="D20" s="4" t="s">
        <v>168</v>
      </c>
      <c r="E20" s="23" t="s">
        <v>160</v>
      </c>
      <c r="F20" s="15" t="s">
        <v>89</v>
      </c>
      <c r="G20" s="4" t="s">
        <v>169</v>
      </c>
      <c r="H20" s="15" t="s">
        <v>170</v>
      </c>
      <c r="I20" s="23" t="s">
        <v>116</v>
      </c>
      <c r="J20" s="5" t="s">
        <v>117</v>
      </c>
      <c r="K20" s="24" t="s">
        <v>83</v>
      </c>
      <c r="L20" s="25"/>
      <c r="M20" s="26"/>
    </row>
    <row r="21" spans="1:13" ht="18" customHeight="1">
      <c r="A21" s="23">
        <v>16</v>
      </c>
      <c r="B21" s="23" t="s">
        <v>85</v>
      </c>
      <c r="C21" s="15" t="s">
        <v>171</v>
      </c>
      <c r="D21" s="4" t="s">
        <v>168</v>
      </c>
      <c r="E21" s="23" t="s">
        <v>160</v>
      </c>
      <c r="F21" s="15" t="s">
        <v>89</v>
      </c>
      <c r="G21" s="4" t="s">
        <v>172</v>
      </c>
      <c r="H21" s="15" t="s">
        <v>170</v>
      </c>
      <c r="I21" s="23" t="s">
        <v>116</v>
      </c>
      <c r="J21" s="5" t="s">
        <v>117</v>
      </c>
      <c r="K21" s="24" t="s">
        <v>83</v>
      </c>
      <c r="L21" s="25"/>
      <c r="M21" s="26"/>
    </row>
    <row r="22" spans="1:13" ht="18" customHeight="1">
      <c r="A22" s="23">
        <v>17</v>
      </c>
      <c r="B22" s="23" t="s">
        <v>85</v>
      </c>
      <c r="C22" s="15" t="s">
        <v>173</v>
      </c>
      <c r="D22" s="4" t="s">
        <v>174</v>
      </c>
      <c r="E22" s="23" t="s">
        <v>113</v>
      </c>
      <c r="F22" s="15" t="s">
        <v>89</v>
      </c>
      <c r="G22" s="4" t="s">
        <v>175</v>
      </c>
      <c r="H22" s="15" t="s">
        <v>176</v>
      </c>
      <c r="I22" s="23" t="s">
        <v>116</v>
      </c>
      <c r="J22" s="5" t="s">
        <v>117</v>
      </c>
      <c r="K22" s="24" t="s">
        <v>83</v>
      </c>
      <c r="L22" s="25"/>
      <c r="M22" s="26"/>
    </row>
    <row r="23" spans="1:13" ht="18" customHeight="1">
      <c r="A23" s="23">
        <v>18</v>
      </c>
      <c r="B23" s="23" t="s">
        <v>85</v>
      </c>
      <c r="C23" s="15" t="s">
        <v>177</v>
      </c>
      <c r="D23" s="4" t="s">
        <v>174</v>
      </c>
      <c r="E23" s="23" t="s">
        <v>160</v>
      </c>
      <c r="F23" s="15" t="s">
        <v>89</v>
      </c>
      <c r="G23" s="4" t="s">
        <v>178</v>
      </c>
      <c r="H23" s="15" t="s">
        <v>176</v>
      </c>
      <c r="I23" s="23" t="s">
        <v>116</v>
      </c>
      <c r="J23" s="5" t="s">
        <v>117</v>
      </c>
      <c r="K23" s="24" t="s">
        <v>83</v>
      </c>
      <c r="L23" s="25"/>
      <c r="M23" s="26"/>
    </row>
    <row r="24" spans="1:13" ht="18" customHeight="1">
      <c r="A24" s="23">
        <v>19</v>
      </c>
      <c r="B24" s="23" t="s">
        <v>85</v>
      </c>
      <c r="C24" s="15" t="s">
        <v>179</v>
      </c>
      <c r="D24" s="4" t="s">
        <v>174</v>
      </c>
      <c r="E24" s="23" t="s">
        <v>180</v>
      </c>
      <c r="F24" s="15" t="s">
        <v>90</v>
      </c>
      <c r="G24" s="4" t="s">
        <v>181</v>
      </c>
      <c r="H24" s="15" t="s">
        <v>176</v>
      </c>
      <c r="I24" s="23" t="s">
        <v>128</v>
      </c>
      <c r="J24" s="4" t="s">
        <v>129</v>
      </c>
      <c r="K24" s="24" t="s">
        <v>129</v>
      </c>
      <c r="L24" s="25"/>
      <c r="M24" s="26"/>
    </row>
    <row r="25" spans="1:13" ht="18" customHeight="1">
      <c r="A25" s="23">
        <v>20</v>
      </c>
      <c r="B25" s="23" t="s">
        <v>85</v>
      </c>
      <c r="C25" s="15" t="s">
        <v>182</v>
      </c>
      <c r="D25" s="4" t="s">
        <v>183</v>
      </c>
      <c r="E25" s="23" t="s">
        <v>113</v>
      </c>
      <c r="F25" s="15" t="s">
        <v>90</v>
      </c>
      <c r="G25" s="5" t="s">
        <v>184</v>
      </c>
      <c r="H25" s="15" t="s">
        <v>185</v>
      </c>
      <c r="I25" s="23" t="s">
        <v>128</v>
      </c>
      <c r="J25" s="4" t="s">
        <v>129</v>
      </c>
      <c r="K25" s="24" t="s">
        <v>129</v>
      </c>
      <c r="L25" s="25"/>
      <c r="M25" s="26"/>
    </row>
    <row r="26" spans="1:13" ht="18" customHeight="1">
      <c r="A26" s="23">
        <v>21</v>
      </c>
      <c r="B26" s="23" t="s">
        <v>85</v>
      </c>
      <c r="C26" s="15" t="s">
        <v>186</v>
      </c>
      <c r="D26" s="4" t="s">
        <v>183</v>
      </c>
      <c r="E26" s="23" t="s">
        <v>113</v>
      </c>
      <c r="F26" s="15" t="s">
        <v>90</v>
      </c>
      <c r="G26" s="4" t="s">
        <v>187</v>
      </c>
      <c r="H26" s="15" t="s">
        <v>185</v>
      </c>
      <c r="I26" s="23" t="s">
        <v>128</v>
      </c>
      <c r="J26" s="4" t="s">
        <v>129</v>
      </c>
      <c r="K26" s="24" t="s">
        <v>129</v>
      </c>
      <c r="L26" s="25"/>
      <c r="M26" s="26"/>
    </row>
    <row r="27" spans="1:13" ht="18" customHeight="1">
      <c r="A27" s="23">
        <v>22</v>
      </c>
      <c r="B27" s="23" t="s">
        <v>85</v>
      </c>
      <c r="C27" s="15" t="s">
        <v>188</v>
      </c>
      <c r="D27" s="4" t="s">
        <v>112</v>
      </c>
      <c r="E27" s="23" t="s">
        <v>156</v>
      </c>
      <c r="F27" s="15" t="s">
        <v>90</v>
      </c>
      <c r="G27" s="4" t="s">
        <v>189</v>
      </c>
      <c r="H27" s="15" t="s">
        <v>115</v>
      </c>
      <c r="I27" s="23" t="s">
        <v>128</v>
      </c>
      <c r="J27" s="4" t="s">
        <v>129</v>
      </c>
      <c r="K27" s="24" t="s">
        <v>129</v>
      </c>
      <c r="L27" s="25"/>
      <c r="M27" s="26"/>
    </row>
    <row r="28" spans="1:13" ht="18" customHeight="1">
      <c r="A28" s="23">
        <v>23</v>
      </c>
      <c r="B28" s="23" t="s">
        <v>85</v>
      </c>
      <c r="C28" s="15" t="s">
        <v>190</v>
      </c>
      <c r="D28" s="4" t="s">
        <v>112</v>
      </c>
      <c r="E28" s="23" t="s">
        <v>156</v>
      </c>
      <c r="F28" s="15" t="s">
        <v>90</v>
      </c>
      <c r="G28" s="4" t="s">
        <v>191</v>
      </c>
      <c r="H28" s="15" t="s">
        <v>192</v>
      </c>
      <c r="I28" s="23" t="s">
        <v>128</v>
      </c>
      <c r="J28" s="4" t="s">
        <v>129</v>
      </c>
      <c r="K28" s="24" t="s">
        <v>129</v>
      </c>
      <c r="L28" s="25"/>
      <c r="M28" s="26" t="s">
        <v>193</v>
      </c>
    </row>
    <row r="29" spans="1:13" ht="18" customHeight="1">
      <c r="A29" s="23">
        <v>24</v>
      </c>
      <c r="B29" s="23" t="s">
        <v>85</v>
      </c>
      <c r="C29" s="15" t="s">
        <v>194</v>
      </c>
      <c r="D29" s="4" t="s">
        <v>112</v>
      </c>
      <c r="E29" s="23" t="s">
        <v>156</v>
      </c>
      <c r="F29" s="15" t="s">
        <v>90</v>
      </c>
      <c r="G29" s="4" t="s">
        <v>195</v>
      </c>
      <c r="H29" s="15" t="s">
        <v>115</v>
      </c>
      <c r="I29" s="23" t="s">
        <v>128</v>
      </c>
      <c r="J29" s="4" t="s">
        <v>129</v>
      </c>
      <c r="K29" s="24" t="s">
        <v>129</v>
      </c>
      <c r="L29" s="25"/>
      <c r="M29" s="26"/>
    </row>
    <row r="30" spans="1:13" ht="18" customHeight="1">
      <c r="A30" s="23">
        <v>25</v>
      </c>
      <c r="B30" s="23" t="s">
        <v>85</v>
      </c>
      <c r="C30" s="15" t="s">
        <v>196</v>
      </c>
      <c r="D30" s="4" t="s">
        <v>168</v>
      </c>
      <c r="E30" s="23" t="s">
        <v>126</v>
      </c>
      <c r="F30" s="15" t="s">
        <v>90</v>
      </c>
      <c r="G30" s="4" t="s">
        <v>197</v>
      </c>
      <c r="H30" s="15" t="s">
        <v>170</v>
      </c>
      <c r="I30" s="23" t="s">
        <v>128</v>
      </c>
      <c r="J30" s="4" t="s">
        <v>129</v>
      </c>
      <c r="K30" s="24" t="s">
        <v>129</v>
      </c>
      <c r="L30" s="25"/>
      <c r="M30" s="26"/>
    </row>
    <row r="31" spans="1:13" ht="18" customHeight="1">
      <c r="A31" s="23">
        <v>26</v>
      </c>
      <c r="B31" s="23" t="s">
        <v>85</v>
      </c>
      <c r="C31" s="15" t="s">
        <v>198</v>
      </c>
      <c r="D31" s="4" t="s">
        <v>168</v>
      </c>
      <c r="E31" s="23" t="s">
        <v>199</v>
      </c>
      <c r="F31" s="15" t="s">
        <v>90</v>
      </c>
      <c r="G31" s="4" t="s">
        <v>200</v>
      </c>
      <c r="H31" s="15" t="s">
        <v>170</v>
      </c>
      <c r="I31" s="23" t="s">
        <v>128</v>
      </c>
      <c r="J31" s="4" t="s">
        <v>129</v>
      </c>
      <c r="K31" s="24" t="s">
        <v>129</v>
      </c>
      <c r="L31" s="25"/>
      <c r="M31" s="26"/>
    </row>
    <row r="32" spans="1:13" ht="18" customHeight="1">
      <c r="A32" s="23">
        <v>27</v>
      </c>
      <c r="B32" s="23" t="s">
        <v>85</v>
      </c>
      <c r="C32" s="15" t="s">
        <v>201</v>
      </c>
      <c r="D32" s="4" t="s">
        <v>174</v>
      </c>
      <c r="E32" s="23" t="s">
        <v>199</v>
      </c>
      <c r="F32" s="15" t="s">
        <v>90</v>
      </c>
      <c r="G32" s="4" t="s">
        <v>202</v>
      </c>
      <c r="H32" s="15" t="s">
        <v>176</v>
      </c>
      <c r="I32" s="23" t="s">
        <v>128</v>
      </c>
      <c r="J32" s="4" t="s">
        <v>129</v>
      </c>
      <c r="K32" s="24" t="s">
        <v>129</v>
      </c>
      <c r="L32" s="25"/>
      <c r="M32" s="26"/>
    </row>
    <row r="33" spans="1:13" ht="18" customHeight="1">
      <c r="A33" s="23">
        <v>28</v>
      </c>
      <c r="B33" s="23" t="s">
        <v>85</v>
      </c>
      <c r="C33" s="15" t="s">
        <v>203</v>
      </c>
      <c r="D33" s="4" t="s">
        <v>183</v>
      </c>
      <c r="E33" s="23" t="s">
        <v>180</v>
      </c>
      <c r="F33" s="15" t="s">
        <v>90</v>
      </c>
      <c r="G33" s="4" t="s">
        <v>204</v>
      </c>
      <c r="H33" s="15" t="s">
        <v>185</v>
      </c>
      <c r="I33" s="23" t="s">
        <v>128</v>
      </c>
      <c r="J33" s="4" t="s">
        <v>129</v>
      </c>
      <c r="K33" s="24" t="s">
        <v>129</v>
      </c>
      <c r="L33" s="25"/>
      <c r="M33" s="26"/>
    </row>
    <row r="34" spans="1:13" ht="18" customHeight="1">
      <c r="A34" s="23">
        <v>29</v>
      </c>
      <c r="B34" s="23" t="s">
        <v>85</v>
      </c>
      <c r="C34" s="15" t="s">
        <v>205</v>
      </c>
      <c r="D34" s="4" t="s">
        <v>206</v>
      </c>
      <c r="E34" s="23" t="s">
        <v>126</v>
      </c>
      <c r="F34" s="15" t="s">
        <v>90</v>
      </c>
      <c r="G34" s="4" t="s">
        <v>207</v>
      </c>
      <c r="H34" s="15" t="s">
        <v>208</v>
      </c>
      <c r="I34" s="23" t="s">
        <v>128</v>
      </c>
      <c r="J34" s="4" t="s">
        <v>129</v>
      </c>
      <c r="K34" s="24" t="s">
        <v>129</v>
      </c>
      <c r="L34" s="25"/>
      <c r="M34" s="26"/>
    </row>
    <row r="35" spans="1:13" ht="18" customHeight="1">
      <c r="A35" s="23">
        <v>30</v>
      </c>
      <c r="B35" s="23" t="s">
        <v>85</v>
      </c>
      <c r="C35" s="15" t="s">
        <v>209</v>
      </c>
      <c r="D35" s="4" t="s">
        <v>206</v>
      </c>
      <c r="E35" s="23" t="s">
        <v>156</v>
      </c>
      <c r="F35" s="15" t="s">
        <v>90</v>
      </c>
      <c r="G35" s="4" t="s">
        <v>210</v>
      </c>
      <c r="H35" s="15" t="s">
        <v>208</v>
      </c>
      <c r="I35" s="23" t="s">
        <v>128</v>
      </c>
      <c r="J35" s="4" t="s">
        <v>129</v>
      </c>
      <c r="K35" s="24" t="s">
        <v>129</v>
      </c>
      <c r="L35" s="25"/>
      <c r="M35" s="26"/>
    </row>
    <row r="36" spans="1:13" ht="18" customHeight="1">
      <c r="A36" s="23">
        <v>31</v>
      </c>
      <c r="B36" s="23" t="s">
        <v>85</v>
      </c>
      <c r="C36" s="15" t="s">
        <v>211</v>
      </c>
      <c r="D36" s="4" t="s">
        <v>212</v>
      </c>
      <c r="E36" s="23" t="s">
        <v>160</v>
      </c>
      <c r="F36" s="15" t="s">
        <v>90</v>
      </c>
      <c r="G36" s="4" t="s">
        <v>213</v>
      </c>
      <c r="H36" s="15" t="s">
        <v>214</v>
      </c>
      <c r="I36" s="23" t="s">
        <v>128</v>
      </c>
      <c r="J36" s="4" t="s">
        <v>129</v>
      </c>
      <c r="K36" s="24" t="s">
        <v>129</v>
      </c>
      <c r="L36" s="25"/>
      <c r="M36" s="26" t="s">
        <v>193</v>
      </c>
    </row>
    <row r="37" spans="1:13" ht="18" customHeight="1">
      <c r="A37" s="23">
        <v>32</v>
      </c>
      <c r="B37" s="23" t="s">
        <v>85</v>
      </c>
      <c r="C37" s="15" t="s">
        <v>215</v>
      </c>
      <c r="D37" s="4" t="s">
        <v>212</v>
      </c>
      <c r="E37" s="23" t="s">
        <v>160</v>
      </c>
      <c r="F37" s="15" t="s">
        <v>90</v>
      </c>
      <c r="G37" s="4" t="s">
        <v>216</v>
      </c>
      <c r="H37" s="15" t="s">
        <v>214</v>
      </c>
      <c r="I37" s="23" t="s">
        <v>128</v>
      </c>
      <c r="J37" s="4" t="s">
        <v>129</v>
      </c>
      <c r="K37" s="24" t="s">
        <v>129</v>
      </c>
      <c r="L37" s="25"/>
      <c r="M37" s="26" t="s">
        <v>193</v>
      </c>
    </row>
    <row r="38" spans="1:13" ht="18" customHeight="1">
      <c r="A38" s="23">
        <v>33</v>
      </c>
      <c r="B38" s="23" t="s">
        <v>85</v>
      </c>
      <c r="C38" s="15" t="s">
        <v>217</v>
      </c>
      <c r="D38" s="4" t="s">
        <v>218</v>
      </c>
      <c r="E38" s="23" t="s">
        <v>126</v>
      </c>
      <c r="F38" s="15" t="s">
        <v>90</v>
      </c>
      <c r="G38" s="4" t="s">
        <v>219</v>
      </c>
      <c r="H38" s="15" t="s">
        <v>220</v>
      </c>
      <c r="I38" s="23" t="s">
        <v>128</v>
      </c>
      <c r="J38" s="4" t="s">
        <v>129</v>
      </c>
      <c r="K38" s="24" t="s">
        <v>129</v>
      </c>
      <c r="L38" s="25"/>
      <c r="M38" s="26" t="s">
        <v>193</v>
      </c>
    </row>
    <row r="39" spans="1:13" ht="18" customHeight="1">
      <c r="A39" s="23">
        <v>34</v>
      </c>
      <c r="B39" s="23" t="s">
        <v>85</v>
      </c>
      <c r="C39" s="15" t="s">
        <v>221</v>
      </c>
      <c r="D39" s="4" t="s">
        <v>218</v>
      </c>
      <c r="E39" s="23" t="s">
        <v>160</v>
      </c>
      <c r="F39" s="15" t="s">
        <v>90</v>
      </c>
      <c r="G39" s="4" t="s">
        <v>222</v>
      </c>
      <c r="H39" s="15" t="s">
        <v>220</v>
      </c>
      <c r="I39" s="23" t="s">
        <v>128</v>
      </c>
      <c r="J39" s="4" t="s">
        <v>129</v>
      </c>
      <c r="K39" s="24" t="s">
        <v>129</v>
      </c>
      <c r="L39" s="25"/>
      <c r="M39" s="26" t="s">
        <v>193</v>
      </c>
    </row>
    <row r="40" spans="1:13" ht="18" customHeight="1">
      <c r="A40" s="23">
        <v>35</v>
      </c>
      <c r="B40" s="23" t="s">
        <v>86</v>
      </c>
      <c r="C40" s="15" t="s">
        <v>223</v>
      </c>
      <c r="D40" s="4" t="s">
        <v>224</v>
      </c>
      <c r="E40" s="15" t="s">
        <v>225</v>
      </c>
      <c r="F40" s="15" t="s">
        <v>89</v>
      </c>
      <c r="G40" s="4" t="s">
        <v>226</v>
      </c>
      <c r="H40" s="15" t="s">
        <v>227</v>
      </c>
      <c r="I40" s="23" t="s">
        <v>116</v>
      </c>
      <c r="J40" s="5" t="s">
        <v>228</v>
      </c>
      <c r="K40" s="24" t="s">
        <v>83</v>
      </c>
      <c r="L40" s="25"/>
      <c r="M40" s="26"/>
    </row>
    <row r="41" spans="1:13" ht="18" customHeight="1">
      <c r="A41" s="23">
        <v>36</v>
      </c>
      <c r="B41" s="23" t="s">
        <v>86</v>
      </c>
      <c r="C41" s="15" t="s">
        <v>229</v>
      </c>
      <c r="D41" s="4" t="s">
        <v>224</v>
      </c>
      <c r="E41" s="15" t="s">
        <v>225</v>
      </c>
      <c r="F41" s="15" t="s">
        <v>89</v>
      </c>
      <c r="G41" s="4" t="s">
        <v>230</v>
      </c>
      <c r="H41" s="15" t="s">
        <v>231</v>
      </c>
      <c r="I41" s="23" t="s">
        <v>116</v>
      </c>
      <c r="J41" s="5" t="s">
        <v>228</v>
      </c>
      <c r="K41" s="24" t="s">
        <v>83</v>
      </c>
      <c r="L41" s="25"/>
      <c r="M41" s="26"/>
    </row>
    <row r="42" spans="1:13" ht="18" customHeight="1">
      <c r="A42" s="23">
        <v>37</v>
      </c>
      <c r="B42" s="23" t="s">
        <v>86</v>
      </c>
      <c r="C42" s="15" t="s">
        <v>232</v>
      </c>
      <c r="D42" s="4" t="s">
        <v>224</v>
      </c>
      <c r="E42" s="15" t="s">
        <v>225</v>
      </c>
      <c r="F42" s="15" t="s">
        <v>89</v>
      </c>
      <c r="G42" s="4" t="s">
        <v>233</v>
      </c>
      <c r="H42" s="15" t="s">
        <v>234</v>
      </c>
      <c r="I42" s="23" t="s">
        <v>116</v>
      </c>
      <c r="J42" s="5" t="s">
        <v>228</v>
      </c>
      <c r="K42" s="24" t="s">
        <v>83</v>
      </c>
      <c r="L42" s="25"/>
      <c r="M42" s="26"/>
    </row>
    <row r="43" spans="1:13" ht="18" customHeight="1">
      <c r="A43" s="23">
        <v>38</v>
      </c>
      <c r="B43" s="23" t="s">
        <v>86</v>
      </c>
      <c r="C43" s="15" t="s">
        <v>235</v>
      </c>
      <c r="D43" s="4" t="s">
        <v>236</v>
      </c>
      <c r="E43" s="15" t="s">
        <v>225</v>
      </c>
      <c r="F43" s="15" t="s">
        <v>89</v>
      </c>
      <c r="G43" s="5" t="s">
        <v>237</v>
      </c>
      <c r="H43" s="15" t="s">
        <v>238</v>
      </c>
      <c r="I43" s="23" t="s">
        <v>116</v>
      </c>
      <c r="J43" s="5" t="s">
        <v>228</v>
      </c>
      <c r="K43" s="24" t="s">
        <v>83</v>
      </c>
      <c r="L43" s="25"/>
      <c r="M43" s="26"/>
    </row>
    <row r="44" spans="1:13" ht="18" customHeight="1">
      <c r="A44" s="23">
        <v>39</v>
      </c>
      <c r="B44" s="23" t="s">
        <v>86</v>
      </c>
      <c r="C44" s="15" t="s">
        <v>239</v>
      </c>
      <c r="D44" s="4" t="s">
        <v>240</v>
      </c>
      <c r="E44" s="15" t="s">
        <v>225</v>
      </c>
      <c r="F44" s="15" t="s">
        <v>89</v>
      </c>
      <c r="G44" s="4" t="s">
        <v>241</v>
      </c>
      <c r="H44" s="15" t="s">
        <v>242</v>
      </c>
      <c r="I44" s="23" t="s">
        <v>128</v>
      </c>
      <c r="J44" s="4" t="s">
        <v>129</v>
      </c>
      <c r="K44" s="24" t="s">
        <v>129</v>
      </c>
      <c r="L44" s="25"/>
      <c r="M44" s="26"/>
    </row>
    <row r="45" spans="1:13" ht="18" customHeight="1">
      <c r="A45" s="23">
        <v>40</v>
      </c>
      <c r="B45" s="23" t="s">
        <v>85</v>
      </c>
      <c r="C45" s="15" t="s">
        <v>243</v>
      </c>
      <c r="D45" s="4" t="s">
        <v>112</v>
      </c>
      <c r="E45" s="23" t="s">
        <v>140</v>
      </c>
      <c r="F45" s="15" t="s">
        <v>91</v>
      </c>
      <c r="G45" s="4" t="s">
        <v>244</v>
      </c>
      <c r="H45" s="15" t="s">
        <v>245</v>
      </c>
      <c r="I45" s="23" t="s">
        <v>128</v>
      </c>
      <c r="J45" s="4" t="s">
        <v>129</v>
      </c>
      <c r="K45" s="24" t="s">
        <v>129</v>
      </c>
      <c r="L45" s="25"/>
      <c r="M45" s="26"/>
    </row>
    <row r="46" spans="1:13" ht="18" customHeight="1">
      <c r="A46" s="23">
        <v>41</v>
      </c>
      <c r="B46" s="23" t="s">
        <v>85</v>
      </c>
      <c r="C46" s="15" t="s">
        <v>246</v>
      </c>
      <c r="D46" s="4" t="s">
        <v>112</v>
      </c>
      <c r="E46" s="23" t="s">
        <v>140</v>
      </c>
      <c r="F46" s="15" t="s">
        <v>91</v>
      </c>
      <c r="G46" s="4" t="s">
        <v>247</v>
      </c>
      <c r="H46" s="15" t="s">
        <v>245</v>
      </c>
      <c r="I46" s="23" t="s">
        <v>128</v>
      </c>
      <c r="J46" s="4" t="s">
        <v>129</v>
      </c>
      <c r="K46" s="24" t="s">
        <v>129</v>
      </c>
      <c r="L46" s="25"/>
      <c r="M46" s="26"/>
    </row>
    <row r="47" spans="1:13" ht="18" customHeight="1">
      <c r="A47" s="23">
        <v>42</v>
      </c>
      <c r="B47" s="23" t="s">
        <v>86</v>
      </c>
      <c r="C47" s="15" t="s">
        <v>248</v>
      </c>
      <c r="D47" s="4" t="s">
        <v>168</v>
      </c>
      <c r="E47" s="23" t="s">
        <v>224</v>
      </c>
      <c r="F47" s="15" t="s">
        <v>91</v>
      </c>
      <c r="G47" s="4" t="s">
        <v>249</v>
      </c>
      <c r="H47" s="15" t="s">
        <v>231</v>
      </c>
      <c r="I47" s="23" t="s">
        <v>128</v>
      </c>
      <c r="J47" s="4" t="s">
        <v>129</v>
      </c>
      <c r="K47" s="24" t="s">
        <v>129</v>
      </c>
      <c r="L47" s="25"/>
      <c r="M47" s="26"/>
    </row>
    <row r="48" spans="1:13" ht="18" customHeight="1">
      <c r="A48" s="23">
        <v>43</v>
      </c>
      <c r="B48" s="23" t="s">
        <v>86</v>
      </c>
      <c r="C48" s="15" t="s">
        <v>250</v>
      </c>
      <c r="D48" s="4" t="s">
        <v>174</v>
      </c>
      <c r="E48" s="23" t="s">
        <v>199</v>
      </c>
      <c r="F48" s="15" t="s">
        <v>91</v>
      </c>
      <c r="G48" s="4" t="s">
        <v>251</v>
      </c>
      <c r="H48" s="15" t="s">
        <v>234</v>
      </c>
      <c r="I48" s="23" t="s">
        <v>128</v>
      </c>
      <c r="J48" s="4" t="s">
        <v>129</v>
      </c>
      <c r="K48" s="24" t="s">
        <v>129</v>
      </c>
      <c r="L48" s="25"/>
      <c r="M48" s="26"/>
    </row>
    <row r="49" spans="1:13" ht="18" customHeight="1">
      <c r="A49" s="23">
        <v>44</v>
      </c>
      <c r="B49" s="23" t="s">
        <v>85</v>
      </c>
      <c r="C49" s="15" t="s">
        <v>252</v>
      </c>
      <c r="D49" s="4" t="s">
        <v>212</v>
      </c>
      <c r="E49" s="23" t="s">
        <v>180</v>
      </c>
      <c r="F49" s="15" t="s">
        <v>91</v>
      </c>
      <c r="G49" s="4" t="s">
        <v>253</v>
      </c>
      <c r="H49" s="15" t="s">
        <v>214</v>
      </c>
      <c r="I49" s="23" t="s">
        <v>128</v>
      </c>
      <c r="J49" s="4" t="s">
        <v>129</v>
      </c>
      <c r="K49" s="24" t="s">
        <v>129</v>
      </c>
      <c r="L49" s="25"/>
      <c r="M49" s="26" t="s">
        <v>193</v>
      </c>
    </row>
    <row r="50" spans="1:13" ht="18" customHeight="1">
      <c r="A50" s="23">
        <v>45</v>
      </c>
      <c r="B50" s="23" t="s">
        <v>85</v>
      </c>
      <c r="C50" s="15" t="s">
        <v>254</v>
      </c>
      <c r="D50" s="4" t="s">
        <v>218</v>
      </c>
      <c r="E50" s="23" t="s">
        <v>126</v>
      </c>
      <c r="F50" s="15" t="s">
        <v>91</v>
      </c>
      <c r="G50" s="4" t="s">
        <v>255</v>
      </c>
      <c r="H50" s="15" t="s">
        <v>220</v>
      </c>
      <c r="I50" s="23" t="s">
        <v>128</v>
      </c>
      <c r="J50" s="4" t="s">
        <v>129</v>
      </c>
      <c r="K50" s="24" t="s">
        <v>129</v>
      </c>
      <c r="L50" s="25"/>
      <c r="M50" s="26" t="s">
        <v>193</v>
      </c>
    </row>
    <row r="51" spans="1:13" ht="18" customHeight="1">
      <c r="A51" s="23">
        <v>46</v>
      </c>
      <c r="B51" s="23" t="s">
        <v>86</v>
      </c>
      <c r="C51" s="15" t="s">
        <v>256</v>
      </c>
      <c r="D51" s="4" t="s">
        <v>236</v>
      </c>
      <c r="E51" s="15" t="s">
        <v>225</v>
      </c>
      <c r="F51" s="15" t="s">
        <v>91</v>
      </c>
      <c r="G51" s="4" t="s">
        <v>257</v>
      </c>
      <c r="H51" s="15" t="s">
        <v>258</v>
      </c>
      <c r="I51" s="23" t="s">
        <v>128</v>
      </c>
      <c r="J51" s="4" t="s">
        <v>129</v>
      </c>
      <c r="K51" s="24" t="s">
        <v>129</v>
      </c>
      <c r="L51" s="25"/>
      <c r="M51" s="26"/>
    </row>
    <row r="52" spans="1:13" ht="18" customHeight="1">
      <c r="A52" s="23">
        <v>47</v>
      </c>
      <c r="B52" s="23" t="s">
        <v>86</v>
      </c>
      <c r="C52" s="15" t="s">
        <v>259</v>
      </c>
      <c r="D52" s="4" t="s">
        <v>240</v>
      </c>
      <c r="E52" s="15" t="s">
        <v>225</v>
      </c>
      <c r="F52" s="15" t="s">
        <v>91</v>
      </c>
      <c r="G52" s="4" t="s">
        <v>260</v>
      </c>
      <c r="H52" s="15" t="s">
        <v>242</v>
      </c>
      <c r="I52" s="23" t="s">
        <v>128</v>
      </c>
      <c r="J52" s="4" t="s">
        <v>129</v>
      </c>
      <c r="K52" s="24" t="s">
        <v>129</v>
      </c>
      <c r="L52" s="25"/>
      <c r="M52" s="26"/>
    </row>
    <row r="53" spans="1:13" ht="18" customHeight="1">
      <c r="A53" s="23">
        <v>48</v>
      </c>
      <c r="B53" s="23" t="s">
        <v>85</v>
      </c>
      <c r="C53" s="15" t="s">
        <v>261</v>
      </c>
      <c r="D53" s="4" t="s">
        <v>112</v>
      </c>
      <c r="E53" s="23" t="s">
        <v>119</v>
      </c>
      <c r="F53" s="15" t="s">
        <v>89</v>
      </c>
      <c r="G53" s="4" t="s">
        <v>262</v>
      </c>
      <c r="H53" s="15" t="s">
        <v>245</v>
      </c>
      <c r="I53" s="23" t="s">
        <v>116</v>
      </c>
      <c r="J53" s="5" t="s">
        <v>117</v>
      </c>
      <c r="K53" s="24" t="s">
        <v>83</v>
      </c>
      <c r="L53" s="25"/>
      <c r="M53" s="26"/>
    </row>
    <row r="54" spans="1:13" ht="18" customHeight="1">
      <c r="A54" s="23">
        <v>49</v>
      </c>
      <c r="B54" s="23" t="s">
        <v>85</v>
      </c>
      <c r="C54" s="15" t="s">
        <v>263</v>
      </c>
      <c r="D54" s="4" t="s">
        <v>112</v>
      </c>
      <c r="E54" s="23" t="s">
        <v>140</v>
      </c>
      <c r="F54" s="15" t="s">
        <v>89</v>
      </c>
      <c r="G54" s="4" t="s">
        <v>264</v>
      </c>
      <c r="H54" s="15" t="s">
        <v>265</v>
      </c>
      <c r="I54" s="23" t="s">
        <v>116</v>
      </c>
      <c r="J54" s="5" t="s">
        <v>117</v>
      </c>
      <c r="K54" s="24" t="s">
        <v>83</v>
      </c>
      <c r="L54" s="25"/>
      <c r="M54" s="26"/>
    </row>
    <row r="55" spans="1:13" ht="18" customHeight="1">
      <c r="A55" s="23">
        <v>50</v>
      </c>
      <c r="B55" s="23" t="s">
        <v>85</v>
      </c>
      <c r="C55" s="15" t="s">
        <v>266</v>
      </c>
      <c r="D55" s="4" t="s">
        <v>112</v>
      </c>
      <c r="E55" s="23" t="s">
        <v>140</v>
      </c>
      <c r="F55" s="15" t="s">
        <v>89</v>
      </c>
      <c r="G55" s="4" t="s">
        <v>267</v>
      </c>
      <c r="H55" s="15" t="s">
        <v>268</v>
      </c>
      <c r="I55" s="23" t="s">
        <v>116</v>
      </c>
      <c r="J55" s="5" t="s">
        <v>117</v>
      </c>
      <c r="K55" s="24" t="s">
        <v>83</v>
      </c>
      <c r="L55" s="25"/>
      <c r="M55" s="26"/>
    </row>
    <row r="56" spans="1:13" ht="18" customHeight="1">
      <c r="A56" s="23">
        <v>51</v>
      </c>
      <c r="B56" s="23" t="s">
        <v>86</v>
      </c>
      <c r="C56" s="15" t="s">
        <v>269</v>
      </c>
      <c r="D56" s="4" t="s">
        <v>224</v>
      </c>
      <c r="E56" s="23" t="s">
        <v>236</v>
      </c>
      <c r="F56" s="15" t="s">
        <v>89</v>
      </c>
      <c r="G56" s="4" t="s">
        <v>270</v>
      </c>
      <c r="H56" s="15" t="s">
        <v>271</v>
      </c>
      <c r="I56" s="23" t="s">
        <v>116</v>
      </c>
      <c r="J56" s="5" t="s">
        <v>228</v>
      </c>
      <c r="K56" s="24" t="s">
        <v>83</v>
      </c>
      <c r="L56" s="25"/>
      <c r="M56" s="26"/>
    </row>
    <row r="57" spans="1:13" ht="18" customHeight="1">
      <c r="A57" s="23">
        <v>52</v>
      </c>
      <c r="B57" s="23" t="s">
        <v>86</v>
      </c>
      <c r="C57" s="15" t="s">
        <v>272</v>
      </c>
      <c r="D57" s="4" t="s">
        <v>224</v>
      </c>
      <c r="E57" s="23" t="s">
        <v>273</v>
      </c>
      <c r="F57" s="15" t="s">
        <v>89</v>
      </c>
      <c r="G57" s="4" t="s">
        <v>274</v>
      </c>
      <c r="H57" s="15" t="s">
        <v>275</v>
      </c>
      <c r="I57" s="23" t="s">
        <v>128</v>
      </c>
      <c r="J57" s="4" t="s">
        <v>129</v>
      </c>
      <c r="K57" s="24" t="s">
        <v>129</v>
      </c>
      <c r="L57" s="25"/>
      <c r="M57" s="26"/>
    </row>
    <row r="58" spans="1:13" ht="18" customHeight="1">
      <c r="A58" s="23">
        <v>53</v>
      </c>
      <c r="B58" s="23" t="s">
        <v>86</v>
      </c>
      <c r="C58" s="15" t="s">
        <v>276</v>
      </c>
      <c r="D58" s="4" t="s">
        <v>224</v>
      </c>
      <c r="E58" s="23" t="s">
        <v>273</v>
      </c>
      <c r="F58" s="15" t="s">
        <v>89</v>
      </c>
      <c r="G58" s="5" t="s">
        <v>277</v>
      </c>
      <c r="H58" s="15" t="s">
        <v>278</v>
      </c>
      <c r="I58" s="23" t="s">
        <v>128</v>
      </c>
      <c r="J58" s="4" t="s">
        <v>129</v>
      </c>
      <c r="K58" s="24" t="s">
        <v>129</v>
      </c>
      <c r="L58" s="25"/>
      <c r="M58" s="26"/>
    </row>
    <row r="59" spans="1:13" ht="18" customHeight="1">
      <c r="A59" s="23">
        <v>54</v>
      </c>
      <c r="B59" s="23" t="s">
        <v>86</v>
      </c>
      <c r="C59" s="15" t="s">
        <v>279</v>
      </c>
      <c r="D59" s="4" t="s">
        <v>224</v>
      </c>
      <c r="E59" s="23" t="s">
        <v>224</v>
      </c>
      <c r="F59" s="15" t="s">
        <v>89</v>
      </c>
      <c r="G59" s="4" t="s">
        <v>280</v>
      </c>
      <c r="H59" s="15" t="s">
        <v>281</v>
      </c>
      <c r="I59" s="23" t="s">
        <v>116</v>
      </c>
      <c r="J59" s="5" t="s">
        <v>228</v>
      </c>
      <c r="K59" s="24" t="s">
        <v>83</v>
      </c>
      <c r="L59" s="25"/>
      <c r="M59" s="26"/>
    </row>
    <row r="60" spans="1:13" ht="33" customHeight="1">
      <c r="A60" s="23">
        <v>55</v>
      </c>
      <c r="B60" s="15" t="s">
        <v>22</v>
      </c>
      <c r="C60" s="15" t="s">
        <v>282</v>
      </c>
      <c r="D60" s="5" t="s">
        <v>283</v>
      </c>
      <c r="E60" s="15" t="s">
        <v>284</v>
      </c>
      <c r="F60" s="23" t="s">
        <v>129</v>
      </c>
      <c r="G60" s="4" t="s">
        <v>285</v>
      </c>
      <c r="H60" s="23" t="s">
        <v>129</v>
      </c>
      <c r="I60" s="23" t="s">
        <v>116</v>
      </c>
      <c r="J60" s="5" t="s">
        <v>286</v>
      </c>
      <c r="K60" s="24" t="s">
        <v>83</v>
      </c>
      <c r="L60" s="25"/>
      <c r="M60" s="26" t="s">
        <v>287</v>
      </c>
    </row>
    <row r="61" spans="1:13" ht="33" customHeight="1">
      <c r="A61" s="23">
        <v>56</v>
      </c>
      <c r="B61" s="15" t="s">
        <v>22</v>
      </c>
      <c r="C61" s="15" t="s">
        <v>288</v>
      </c>
      <c r="D61" s="5" t="s">
        <v>289</v>
      </c>
      <c r="E61" s="15" t="s">
        <v>284</v>
      </c>
      <c r="F61" s="23" t="s">
        <v>129</v>
      </c>
      <c r="G61" s="4" t="s">
        <v>290</v>
      </c>
      <c r="H61" s="23" t="s">
        <v>129</v>
      </c>
      <c r="I61" s="23" t="s">
        <v>116</v>
      </c>
      <c r="J61" s="5" t="s">
        <v>286</v>
      </c>
      <c r="K61" s="24" t="s">
        <v>83</v>
      </c>
      <c r="L61" s="25"/>
      <c r="M61" s="26" t="s">
        <v>287</v>
      </c>
    </row>
    <row r="62" spans="1:13" ht="33" customHeight="1">
      <c r="A62" s="23">
        <v>57</v>
      </c>
      <c r="B62" s="15" t="s">
        <v>22</v>
      </c>
      <c r="C62" s="15" t="s">
        <v>291</v>
      </c>
      <c r="D62" s="5" t="s">
        <v>292</v>
      </c>
      <c r="E62" s="15" t="s">
        <v>284</v>
      </c>
      <c r="F62" s="23" t="s">
        <v>129</v>
      </c>
      <c r="G62" s="4" t="s">
        <v>293</v>
      </c>
      <c r="H62" s="23" t="s">
        <v>129</v>
      </c>
      <c r="I62" s="23" t="s">
        <v>116</v>
      </c>
      <c r="J62" s="5" t="s">
        <v>286</v>
      </c>
      <c r="K62" s="24" t="s">
        <v>83</v>
      </c>
      <c r="L62" s="25"/>
      <c r="M62" s="26" t="s">
        <v>287</v>
      </c>
    </row>
    <row r="63" spans="1:13" ht="33" customHeight="1">
      <c r="A63" s="23">
        <v>58</v>
      </c>
      <c r="B63" s="15" t="s">
        <v>22</v>
      </c>
      <c r="C63" s="15" t="s">
        <v>294</v>
      </c>
      <c r="D63" s="5" t="s">
        <v>295</v>
      </c>
      <c r="E63" s="15" t="s">
        <v>284</v>
      </c>
      <c r="F63" s="23" t="s">
        <v>129</v>
      </c>
      <c r="G63" s="4" t="s">
        <v>296</v>
      </c>
      <c r="H63" s="23" t="s">
        <v>129</v>
      </c>
      <c r="I63" s="23" t="s">
        <v>116</v>
      </c>
      <c r="J63" s="5" t="s">
        <v>286</v>
      </c>
      <c r="K63" s="24" t="s">
        <v>83</v>
      </c>
      <c r="L63" s="25"/>
      <c r="M63" s="26" t="s">
        <v>287</v>
      </c>
    </row>
    <row r="64" spans="1:13" ht="33" customHeight="1">
      <c r="A64" s="23">
        <v>59</v>
      </c>
      <c r="B64" s="15" t="s">
        <v>22</v>
      </c>
      <c r="C64" s="15" t="s">
        <v>297</v>
      </c>
      <c r="D64" s="5" t="s">
        <v>298</v>
      </c>
      <c r="E64" s="15" t="s">
        <v>284</v>
      </c>
      <c r="F64" s="23" t="s">
        <v>129</v>
      </c>
      <c r="G64" s="4" t="s">
        <v>299</v>
      </c>
      <c r="H64" s="23" t="s">
        <v>129</v>
      </c>
      <c r="I64" s="23" t="s">
        <v>116</v>
      </c>
      <c r="J64" s="5" t="s">
        <v>286</v>
      </c>
      <c r="K64" s="24" t="s">
        <v>83</v>
      </c>
      <c r="L64" s="25"/>
      <c r="M64" s="26" t="s">
        <v>287</v>
      </c>
    </row>
    <row r="65" spans="1:13" ht="33" customHeight="1">
      <c r="A65" s="23">
        <v>60</v>
      </c>
      <c r="B65" s="15" t="s">
        <v>22</v>
      </c>
      <c r="C65" s="15" t="s">
        <v>300</v>
      </c>
      <c r="D65" s="5" t="s">
        <v>301</v>
      </c>
      <c r="E65" s="15" t="s">
        <v>284</v>
      </c>
      <c r="F65" s="23" t="s">
        <v>129</v>
      </c>
      <c r="G65" s="4" t="s">
        <v>302</v>
      </c>
      <c r="H65" s="23" t="s">
        <v>129</v>
      </c>
      <c r="I65" s="23" t="s">
        <v>116</v>
      </c>
      <c r="J65" s="5" t="s">
        <v>286</v>
      </c>
      <c r="K65" s="24" t="s">
        <v>83</v>
      </c>
      <c r="L65" s="25"/>
      <c r="M65" s="26" t="s">
        <v>287</v>
      </c>
    </row>
  </sheetData>
  <autoFilter ref="A5:M65" xr:uid="{00000000-0009-0000-0000-000002000000}"/>
  <phoneticPr fontId="13"/>
  <conditionalFormatting sqref="K6:K65">
    <cfRule type="cellIs" dxfId="3" priority="2" operator="equal">
      <formula>"合格"</formula>
    </cfRule>
    <cfRule type="cellIs" dxfId="2" priority="3" operator="equal">
      <formula>"不合格"</formula>
    </cfRule>
    <cfRule type="cellIs" dxfId="1" priority="4" operator="equal">
      <formula>"保留"</formula>
    </cfRule>
  </conditionalFormatting>
  <dataValidations count="1">
    <dataValidation type="list" allowBlank="1" sqref="K6:K65" xr:uid="{00000000-0002-0000-0200-000000000000}">
      <formula1>"未実施,合格,不合格,保留,－"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/>
  <cols>
    <col min="1" max="1" width="5" customWidth="1"/>
    <col min="2" max="2" width="26" customWidth="1"/>
    <col min="3" max="3" width="52" customWidth="1"/>
    <col min="4" max="4" width="30" customWidth="1"/>
    <col min="5" max="6" width="12" customWidth="1"/>
    <col min="7" max="7" width="8" customWidth="1"/>
    <col min="8" max="8" width="10" customWidth="1"/>
    <col min="9" max="9" width="26" customWidth="1"/>
  </cols>
  <sheetData>
    <row r="1" spans="1:9" ht="17.399999999999999">
      <c r="A1" s="12" t="s">
        <v>303</v>
      </c>
    </row>
    <row r="2" spans="1:9">
      <c r="A2" s="13" t="s">
        <v>304</v>
      </c>
    </row>
    <row r="4" spans="1:9" ht="24" customHeight="1">
      <c r="A4" s="22" t="s">
        <v>101</v>
      </c>
      <c r="B4" s="14" t="s">
        <v>305</v>
      </c>
      <c r="C4" s="14" t="s">
        <v>306</v>
      </c>
      <c r="D4" s="14" t="s">
        <v>307</v>
      </c>
      <c r="E4" s="14" t="s">
        <v>308</v>
      </c>
      <c r="F4" s="14" t="s">
        <v>309</v>
      </c>
      <c r="G4" s="14" t="s">
        <v>310</v>
      </c>
      <c r="H4" s="14" t="s">
        <v>311</v>
      </c>
      <c r="I4" s="14" t="s">
        <v>110</v>
      </c>
    </row>
    <row r="5" spans="1:9" ht="33" customHeight="1">
      <c r="A5" s="23">
        <v>1</v>
      </c>
      <c r="B5" s="27" t="s">
        <v>312</v>
      </c>
      <c r="C5" s="4" t="s">
        <v>313</v>
      </c>
      <c r="D5" s="4" t="s">
        <v>314</v>
      </c>
      <c r="E5" s="25"/>
      <c r="F5" s="25"/>
      <c r="G5" s="28" t="str">
        <f t="shared" ref="G5:G15" si="0">IF(AND(E5&lt;&gt;"",F5&lt;&gt;""),F5-E5+1,"")</f>
        <v/>
      </c>
      <c r="H5" s="24" t="s">
        <v>315</v>
      </c>
      <c r="I5" s="26"/>
    </row>
    <row r="6" spans="1:9" ht="18" customHeight="1">
      <c r="A6" s="23">
        <v>2</v>
      </c>
      <c r="B6" s="27" t="s">
        <v>316</v>
      </c>
      <c r="C6" s="5" t="s">
        <v>317</v>
      </c>
      <c r="D6" s="4" t="s">
        <v>318</v>
      </c>
      <c r="E6" s="25"/>
      <c r="F6" s="25"/>
      <c r="G6" s="28" t="str">
        <f t="shared" si="0"/>
        <v/>
      </c>
      <c r="H6" s="24" t="s">
        <v>319</v>
      </c>
      <c r="I6" s="26"/>
    </row>
    <row r="7" spans="1:9" ht="33" customHeight="1">
      <c r="A7" s="23">
        <v>3</v>
      </c>
      <c r="B7" s="27" t="s">
        <v>320</v>
      </c>
      <c r="C7" s="4" t="s">
        <v>321</v>
      </c>
      <c r="D7" s="4" t="s">
        <v>322</v>
      </c>
      <c r="E7" s="25"/>
      <c r="F7" s="25"/>
      <c r="G7" s="28" t="str">
        <f t="shared" si="0"/>
        <v/>
      </c>
      <c r="H7" s="24" t="s">
        <v>319</v>
      </c>
      <c r="I7" s="26"/>
    </row>
    <row r="8" spans="1:9" ht="33" customHeight="1">
      <c r="A8" s="23">
        <v>4</v>
      </c>
      <c r="B8" s="27" t="s">
        <v>323</v>
      </c>
      <c r="C8" s="5" t="s">
        <v>324</v>
      </c>
      <c r="D8" s="5" t="s">
        <v>325</v>
      </c>
      <c r="E8" s="25"/>
      <c r="F8" s="25"/>
      <c r="G8" s="28" t="str">
        <f t="shared" si="0"/>
        <v/>
      </c>
      <c r="H8" s="24" t="s">
        <v>319</v>
      </c>
      <c r="I8" s="26"/>
    </row>
    <row r="9" spans="1:9" ht="47.25" customHeight="1">
      <c r="A9" s="23">
        <v>5</v>
      </c>
      <c r="B9" s="29" t="s">
        <v>326</v>
      </c>
      <c r="C9" s="5" t="s">
        <v>327</v>
      </c>
      <c r="D9" s="5" t="s">
        <v>328</v>
      </c>
      <c r="E9" s="25"/>
      <c r="F9" s="25"/>
      <c r="G9" s="28" t="str">
        <f t="shared" si="0"/>
        <v/>
      </c>
      <c r="H9" s="24" t="s">
        <v>319</v>
      </c>
      <c r="I9" s="26"/>
    </row>
    <row r="10" spans="1:9" ht="33" customHeight="1">
      <c r="A10" s="23">
        <v>6</v>
      </c>
      <c r="B10" s="27" t="s">
        <v>329</v>
      </c>
      <c r="C10" s="4" t="s">
        <v>330</v>
      </c>
      <c r="D10" s="5" t="s">
        <v>331</v>
      </c>
      <c r="E10" s="25"/>
      <c r="F10" s="25"/>
      <c r="G10" s="28" t="str">
        <f t="shared" si="0"/>
        <v/>
      </c>
      <c r="H10" s="24" t="s">
        <v>319</v>
      </c>
      <c r="I10" s="26"/>
    </row>
    <row r="11" spans="1:9" ht="18" customHeight="1">
      <c r="A11" s="23">
        <v>7</v>
      </c>
      <c r="B11" s="29" t="s">
        <v>332</v>
      </c>
      <c r="C11" s="5" t="s">
        <v>333</v>
      </c>
      <c r="D11" s="5" t="s">
        <v>334</v>
      </c>
      <c r="E11" s="25"/>
      <c r="F11" s="25"/>
      <c r="G11" s="28" t="str">
        <f t="shared" si="0"/>
        <v/>
      </c>
      <c r="H11" s="24" t="s">
        <v>319</v>
      </c>
      <c r="I11" s="26"/>
    </row>
    <row r="12" spans="1:9" ht="18" customHeight="1">
      <c r="A12" s="23">
        <v>8</v>
      </c>
      <c r="B12" s="29" t="s">
        <v>335</v>
      </c>
      <c r="C12" s="5" t="s">
        <v>336</v>
      </c>
      <c r="D12" s="5" t="s">
        <v>337</v>
      </c>
      <c r="E12" s="25"/>
      <c r="F12" s="25"/>
      <c r="G12" s="28" t="str">
        <f t="shared" si="0"/>
        <v/>
      </c>
      <c r="H12" s="24" t="s">
        <v>319</v>
      </c>
      <c r="I12" s="26"/>
    </row>
    <row r="13" spans="1:9" ht="47.25" customHeight="1">
      <c r="A13" s="23">
        <v>9</v>
      </c>
      <c r="B13" s="29" t="s">
        <v>338</v>
      </c>
      <c r="C13" s="5" t="s">
        <v>339</v>
      </c>
      <c r="D13" s="5" t="s">
        <v>340</v>
      </c>
      <c r="E13" s="25"/>
      <c r="F13" s="25"/>
      <c r="G13" s="28" t="str">
        <f t="shared" si="0"/>
        <v/>
      </c>
      <c r="H13" s="24" t="s">
        <v>319</v>
      </c>
      <c r="I13" s="26"/>
    </row>
    <row r="14" spans="1:9" ht="33" customHeight="1">
      <c r="A14" s="23">
        <v>10</v>
      </c>
      <c r="B14" s="29" t="s">
        <v>341</v>
      </c>
      <c r="C14" s="4" t="s">
        <v>342</v>
      </c>
      <c r="D14" s="4" t="s">
        <v>343</v>
      </c>
      <c r="E14" s="25"/>
      <c r="F14" s="25"/>
      <c r="G14" s="28" t="str">
        <f t="shared" si="0"/>
        <v/>
      </c>
      <c r="H14" s="24" t="s">
        <v>319</v>
      </c>
      <c r="I14" s="26"/>
    </row>
    <row r="15" spans="1:9" ht="33" customHeight="1">
      <c r="A15" s="23">
        <v>11</v>
      </c>
      <c r="B15" s="29" t="s">
        <v>344</v>
      </c>
      <c r="C15" s="5" t="s">
        <v>345</v>
      </c>
      <c r="D15" s="5" t="s">
        <v>346</v>
      </c>
      <c r="E15" s="25"/>
      <c r="F15" s="25"/>
      <c r="G15" s="28" t="str">
        <f t="shared" si="0"/>
        <v/>
      </c>
      <c r="H15" s="24" t="s">
        <v>319</v>
      </c>
      <c r="I15" s="26"/>
    </row>
  </sheetData>
  <phoneticPr fontId="13"/>
  <conditionalFormatting sqref="H5:H15">
    <cfRule type="cellIs" dxfId="0" priority="2" operator="equal">
      <formula>"完了"</formula>
    </cfRule>
  </conditionalFormatting>
  <dataValidations count="2">
    <dataValidation type="list" allowBlank="1" sqref="H5:H15" xr:uid="{00000000-0002-0000-0300-000000000000}">
      <formula1>"未着手,着手中,完了,保留"</formula1>
      <formula2>0</formula2>
    </dataValidation>
    <dataValidation type="date" operator="greaterThan" allowBlank="1" sqref="E5:F15" xr:uid="{00000000-0002-0000-0300-000001000000}">
      <formula1>36526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/>
  <cols>
    <col min="1" max="1" width="5" customWidth="1"/>
    <col min="2" max="2" width="50" customWidth="1"/>
    <col min="3" max="3" width="10" customWidth="1"/>
    <col min="4" max="4" width="12" customWidth="1"/>
    <col min="5" max="5" width="62" customWidth="1"/>
    <col min="6" max="6" width="12" customWidth="1"/>
  </cols>
  <sheetData>
    <row r="1" spans="1:6" ht="17.399999999999999">
      <c r="A1" s="12" t="s">
        <v>347</v>
      </c>
    </row>
    <row r="2" spans="1:6">
      <c r="A2" s="13" t="s">
        <v>348</v>
      </c>
    </row>
    <row r="4" spans="1:6" ht="24" customHeight="1">
      <c r="A4" s="22" t="s">
        <v>101</v>
      </c>
      <c r="B4" s="14" t="s">
        <v>349</v>
      </c>
      <c r="C4" s="14" t="s">
        <v>350</v>
      </c>
      <c r="D4" s="14" t="s">
        <v>351</v>
      </c>
      <c r="E4" s="14" t="s">
        <v>352</v>
      </c>
      <c r="F4" s="14" t="s">
        <v>311</v>
      </c>
    </row>
    <row r="5" spans="1:6" ht="33" customHeight="1">
      <c r="A5" s="23">
        <v>1</v>
      </c>
      <c r="B5" s="4" t="s">
        <v>353</v>
      </c>
      <c r="C5" s="23" t="s">
        <v>354</v>
      </c>
      <c r="D5" s="23" t="s">
        <v>355</v>
      </c>
      <c r="E5" s="4" t="s">
        <v>356</v>
      </c>
      <c r="F5" s="24" t="s">
        <v>357</v>
      </c>
    </row>
    <row r="6" spans="1:6" ht="33" customHeight="1">
      <c r="A6" s="23">
        <v>2</v>
      </c>
      <c r="B6" s="4" t="s">
        <v>358</v>
      </c>
      <c r="C6" s="23" t="s">
        <v>355</v>
      </c>
      <c r="D6" s="23" t="s">
        <v>355</v>
      </c>
      <c r="E6" s="4" t="s">
        <v>359</v>
      </c>
      <c r="F6" s="24" t="s">
        <v>357</v>
      </c>
    </row>
    <row r="7" spans="1:6" ht="33" customHeight="1">
      <c r="A7" s="23">
        <v>3</v>
      </c>
      <c r="B7" s="4" t="s">
        <v>360</v>
      </c>
      <c r="C7" s="23" t="s">
        <v>355</v>
      </c>
      <c r="D7" s="23" t="s">
        <v>355</v>
      </c>
      <c r="E7" s="4" t="s">
        <v>361</v>
      </c>
      <c r="F7" s="24" t="s">
        <v>357</v>
      </c>
    </row>
    <row r="8" spans="1:6" ht="47.25" customHeight="1">
      <c r="A8" s="23">
        <v>4</v>
      </c>
      <c r="B8" s="4" t="s">
        <v>362</v>
      </c>
      <c r="C8" s="23" t="s">
        <v>354</v>
      </c>
      <c r="D8" s="23" t="s">
        <v>354</v>
      </c>
      <c r="E8" s="5" t="s">
        <v>363</v>
      </c>
      <c r="F8" s="24" t="s">
        <v>357</v>
      </c>
    </row>
    <row r="9" spans="1:6" ht="33" customHeight="1">
      <c r="A9" s="23">
        <v>5</v>
      </c>
      <c r="B9" s="4" t="s">
        <v>364</v>
      </c>
      <c r="C9" s="23" t="s">
        <v>354</v>
      </c>
      <c r="D9" s="23" t="s">
        <v>365</v>
      </c>
      <c r="E9" s="4" t="s">
        <v>366</v>
      </c>
      <c r="F9" s="24" t="s">
        <v>357</v>
      </c>
    </row>
    <row r="10" spans="1:6" ht="33" customHeight="1">
      <c r="A10" s="23">
        <v>6</v>
      </c>
      <c r="B10" s="4" t="s">
        <v>367</v>
      </c>
      <c r="C10" s="23" t="s">
        <v>354</v>
      </c>
      <c r="D10" s="23" t="s">
        <v>355</v>
      </c>
      <c r="E10" s="5" t="s">
        <v>368</v>
      </c>
      <c r="F10" s="24" t="s">
        <v>357</v>
      </c>
    </row>
    <row r="11" spans="1:6" ht="33" customHeight="1">
      <c r="A11" s="23">
        <v>7</v>
      </c>
      <c r="B11" s="5" t="s">
        <v>369</v>
      </c>
      <c r="C11" s="23" t="s">
        <v>354</v>
      </c>
      <c r="D11" s="23" t="s">
        <v>354</v>
      </c>
      <c r="E11" s="4" t="s">
        <v>370</v>
      </c>
      <c r="F11" s="24" t="s">
        <v>357</v>
      </c>
    </row>
    <row r="12" spans="1:6" ht="33" customHeight="1">
      <c r="A12" s="23">
        <v>8</v>
      </c>
      <c r="B12" s="4" t="s">
        <v>371</v>
      </c>
      <c r="C12" s="23" t="s">
        <v>354</v>
      </c>
      <c r="D12" s="23" t="s">
        <v>355</v>
      </c>
      <c r="E12" s="4" t="s">
        <v>372</v>
      </c>
      <c r="F12" s="24" t="s">
        <v>357</v>
      </c>
    </row>
    <row r="13" spans="1:6" ht="33" customHeight="1">
      <c r="A13" s="23">
        <v>9</v>
      </c>
      <c r="B13" s="4" t="s">
        <v>373</v>
      </c>
      <c r="C13" s="23" t="s">
        <v>355</v>
      </c>
      <c r="D13" s="23" t="s">
        <v>365</v>
      </c>
      <c r="E13" s="5" t="s">
        <v>374</v>
      </c>
      <c r="F13" s="24" t="s">
        <v>357</v>
      </c>
    </row>
    <row r="14" spans="1:6" ht="33" customHeight="1">
      <c r="A14" s="23">
        <v>10</v>
      </c>
      <c r="B14" s="4" t="s">
        <v>375</v>
      </c>
      <c r="C14" s="23" t="s">
        <v>354</v>
      </c>
      <c r="D14" s="23" t="s">
        <v>355</v>
      </c>
      <c r="E14" s="4" t="s">
        <v>376</v>
      </c>
      <c r="F14" s="24" t="s">
        <v>357</v>
      </c>
    </row>
    <row r="15" spans="1:6" ht="33" customHeight="1">
      <c r="A15" s="23">
        <v>11</v>
      </c>
      <c r="B15" s="4" t="s">
        <v>377</v>
      </c>
      <c r="C15" s="23" t="s">
        <v>355</v>
      </c>
      <c r="D15" s="23" t="s">
        <v>365</v>
      </c>
      <c r="E15" s="5" t="s">
        <v>378</v>
      </c>
      <c r="F15" s="24" t="s">
        <v>357</v>
      </c>
    </row>
  </sheetData>
  <phoneticPr fontId="13"/>
  <dataValidations count="2">
    <dataValidation type="list" allowBlank="1" sqref="F5:F15" xr:uid="{00000000-0002-0000-0400-000000000000}">
      <formula1>"未対応,対応中,対応済み"</formula1>
      <formula2>0</formula2>
    </dataValidation>
    <dataValidation type="list" allowBlank="1" sqref="C5:D15" xr:uid="{00000000-0002-0000-0400-000001000000}">
      <formula1>"高,中,低"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8" customWidth="1"/>
    <col min="2" max="2" width="12" customWidth="1"/>
    <col min="3" max="3" width="16" customWidth="1"/>
    <col min="4" max="4" width="36" customWidth="1"/>
    <col min="5" max="5" width="40" customWidth="1"/>
    <col min="6" max="7" width="28" customWidth="1"/>
    <col min="8" max="8" width="22" customWidth="1"/>
    <col min="9" max="9" width="10" customWidth="1"/>
  </cols>
  <sheetData>
    <row r="1" spans="1:9" ht="17.399999999999999">
      <c r="A1" s="12" t="s">
        <v>379</v>
      </c>
    </row>
    <row r="2" spans="1:9">
      <c r="A2" s="13" t="s">
        <v>380</v>
      </c>
    </row>
    <row r="4" spans="1:9" ht="24" customHeight="1">
      <c r="A4" s="22" t="s">
        <v>101</v>
      </c>
      <c r="B4" s="14" t="s">
        <v>381</v>
      </c>
      <c r="C4" s="14" t="s">
        <v>382</v>
      </c>
      <c r="D4" s="14" t="s">
        <v>383</v>
      </c>
      <c r="E4" s="14" t="s">
        <v>384</v>
      </c>
      <c r="F4" s="14" t="s">
        <v>385</v>
      </c>
      <c r="G4" s="14" t="s">
        <v>386</v>
      </c>
      <c r="H4" s="14" t="s">
        <v>387</v>
      </c>
      <c r="I4" s="14" t="s">
        <v>388</v>
      </c>
    </row>
    <row r="5" spans="1:9" ht="47.25" customHeight="1">
      <c r="A5" s="30" t="s">
        <v>389</v>
      </c>
      <c r="B5" s="31">
        <v>46315</v>
      </c>
      <c r="C5" s="32" t="s">
        <v>390</v>
      </c>
      <c r="D5" s="33" t="s">
        <v>391</v>
      </c>
      <c r="E5" s="34" t="s">
        <v>392</v>
      </c>
      <c r="F5" s="33" t="s">
        <v>393</v>
      </c>
      <c r="G5" s="33" t="s">
        <v>394</v>
      </c>
      <c r="H5" s="33" t="s">
        <v>395</v>
      </c>
      <c r="I5" s="30" t="s">
        <v>396</v>
      </c>
    </row>
    <row r="6" spans="1:9">
      <c r="A6" s="35"/>
      <c r="B6" s="25"/>
      <c r="C6" s="35"/>
      <c r="D6" s="26"/>
      <c r="E6" s="26"/>
      <c r="F6" s="26"/>
      <c r="G6" s="26"/>
      <c r="H6" s="7"/>
      <c r="I6" s="35"/>
    </row>
    <row r="7" spans="1:9">
      <c r="A7" s="35"/>
      <c r="B7" s="25"/>
      <c r="C7" s="35"/>
      <c r="D7" s="26"/>
      <c r="E7" s="26"/>
      <c r="F7" s="26"/>
      <c r="G7" s="26"/>
      <c r="H7" s="7"/>
      <c r="I7" s="35"/>
    </row>
    <row r="8" spans="1:9">
      <c r="A8" s="35"/>
      <c r="B8" s="25"/>
      <c r="C8" s="35"/>
      <c r="D8" s="26"/>
      <c r="E8" s="26"/>
      <c r="F8" s="26"/>
      <c r="G8" s="26"/>
      <c r="H8" s="7"/>
      <c r="I8" s="35"/>
    </row>
    <row r="9" spans="1:9">
      <c r="A9" s="35"/>
      <c r="B9" s="25"/>
      <c r="C9" s="35"/>
      <c r="D9" s="26"/>
      <c r="E9" s="26"/>
      <c r="F9" s="26"/>
      <c r="G9" s="26"/>
      <c r="H9" s="7"/>
      <c r="I9" s="35"/>
    </row>
    <row r="10" spans="1:9">
      <c r="A10" s="35"/>
      <c r="B10" s="25"/>
      <c r="C10" s="35"/>
      <c r="D10" s="26"/>
      <c r="E10" s="26"/>
      <c r="F10" s="26"/>
      <c r="G10" s="26"/>
      <c r="H10" s="7"/>
      <c r="I10" s="35"/>
    </row>
    <row r="11" spans="1:9">
      <c r="A11" s="35"/>
      <c r="B11" s="25"/>
      <c r="C11" s="35"/>
      <c r="D11" s="26"/>
      <c r="E11" s="26"/>
      <c r="F11" s="26"/>
      <c r="G11" s="26"/>
      <c r="H11" s="7"/>
      <c r="I11" s="35"/>
    </row>
    <row r="12" spans="1:9">
      <c r="A12" s="35"/>
      <c r="B12" s="25"/>
      <c r="C12" s="35"/>
      <c r="D12" s="26"/>
      <c r="E12" s="26"/>
      <c r="F12" s="26"/>
      <c r="G12" s="26"/>
      <c r="H12" s="7"/>
      <c r="I12" s="35"/>
    </row>
    <row r="13" spans="1:9">
      <c r="A13" s="35"/>
      <c r="B13" s="25"/>
      <c r="C13" s="35"/>
      <c r="D13" s="26"/>
      <c r="E13" s="26"/>
      <c r="F13" s="26"/>
      <c r="G13" s="26"/>
      <c r="H13" s="7"/>
      <c r="I13" s="35"/>
    </row>
    <row r="14" spans="1:9">
      <c r="A14" s="35"/>
      <c r="B14" s="25"/>
      <c r="C14" s="35"/>
      <c r="D14" s="26"/>
      <c r="E14" s="26"/>
      <c r="F14" s="26"/>
      <c r="G14" s="26"/>
      <c r="H14" s="7"/>
      <c r="I14" s="35"/>
    </row>
    <row r="15" spans="1:9">
      <c r="A15" s="35"/>
      <c r="B15" s="25"/>
      <c r="C15" s="35"/>
      <c r="D15" s="26"/>
      <c r="E15" s="26"/>
      <c r="F15" s="26"/>
      <c r="G15" s="26"/>
      <c r="H15" s="7"/>
      <c r="I15" s="35"/>
    </row>
    <row r="16" spans="1:9">
      <c r="A16" s="35"/>
      <c r="B16" s="25"/>
      <c r="C16" s="35"/>
      <c r="D16" s="26"/>
      <c r="E16" s="26"/>
      <c r="F16" s="26"/>
      <c r="G16" s="26"/>
      <c r="H16" s="7"/>
      <c r="I16" s="35"/>
    </row>
    <row r="17" spans="1:9">
      <c r="A17" s="35"/>
      <c r="B17" s="25"/>
      <c r="C17" s="35"/>
      <c r="D17" s="26"/>
      <c r="E17" s="26"/>
      <c r="F17" s="26"/>
      <c r="G17" s="26"/>
      <c r="H17" s="7"/>
      <c r="I17" s="35"/>
    </row>
    <row r="18" spans="1:9">
      <c r="A18" s="35"/>
      <c r="B18" s="25"/>
      <c r="C18" s="35"/>
      <c r="D18" s="26"/>
      <c r="E18" s="26"/>
      <c r="F18" s="26"/>
      <c r="G18" s="26"/>
      <c r="H18" s="7"/>
      <c r="I18" s="35"/>
    </row>
    <row r="19" spans="1:9">
      <c r="A19" s="35"/>
      <c r="B19" s="25"/>
      <c r="C19" s="35"/>
      <c r="D19" s="26"/>
      <c r="E19" s="26"/>
      <c r="F19" s="26"/>
      <c r="G19" s="26"/>
      <c r="H19" s="7"/>
      <c r="I19" s="35"/>
    </row>
    <row r="20" spans="1:9">
      <c r="A20" s="35"/>
      <c r="B20" s="25"/>
      <c r="C20" s="35"/>
      <c r="D20" s="26"/>
      <c r="E20" s="26"/>
      <c r="F20" s="26"/>
      <c r="G20" s="26"/>
      <c r="H20" s="7"/>
      <c r="I20" s="35"/>
    </row>
    <row r="21" spans="1:9">
      <c r="A21" s="35"/>
      <c r="B21" s="25"/>
      <c r="C21" s="35"/>
      <c r="D21" s="26"/>
      <c r="E21" s="26"/>
      <c r="F21" s="26"/>
      <c r="G21" s="26"/>
      <c r="H21" s="7"/>
      <c r="I21" s="35"/>
    </row>
    <row r="22" spans="1:9">
      <c r="A22" s="35"/>
      <c r="B22" s="25"/>
      <c r="C22" s="35"/>
      <c r="D22" s="26"/>
      <c r="E22" s="26"/>
      <c r="F22" s="26"/>
      <c r="G22" s="26"/>
      <c r="H22" s="7"/>
      <c r="I22" s="35"/>
    </row>
    <row r="23" spans="1:9">
      <c r="A23" s="35"/>
      <c r="B23" s="25"/>
      <c r="C23" s="35"/>
      <c r="D23" s="26"/>
      <c r="E23" s="26"/>
      <c r="F23" s="26"/>
      <c r="G23" s="26"/>
      <c r="H23" s="7"/>
      <c r="I23" s="35"/>
    </row>
    <row r="24" spans="1:9">
      <c r="A24" s="35"/>
      <c r="B24" s="25"/>
      <c r="C24" s="35"/>
      <c r="D24" s="26"/>
      <c r="E24" s="26"/>
      <c r="F24" s="26"/>
      <c r="G24" s="26"/>
      <c r="H24" s="7"/>
      <c r="I24" s="35"/>
    </row>
    <row r="25" spans="1:9">
      <c r="A25" s="35"/>
      <c r="B25" s="25"/>
      <c r="C25" s="35"/>
      <c r="D25" s="26"/>
      <c r="E25" s="26"/>
      <c r="F25" s="26"/>
      <c r="G25" s="26"/>
      <c r="H25" s="7"/>
      <c r="I25" s="35"/>
    </row>
  </sheetData>
  <phoneticPr fontId="13"/>
  <dataValidations count="2">
    <dataValidation type="list" allowBlank="1" sqref="H5:H25" xr:uid="{00000000-0002-0000-0500-000000000000}">
      <formula1>"設計書を修正,テストコードを修正,不具合として記録,対応しない"</formula1>
      <formula2>0</formula2>
    </dataValidation>
    <dataValidation type="list" allowBlank="1" sqref="I5:I25" xr:uid="{00000000-0002-0000-0500-000001000000}">
      <formula1>"未対応,対応済み"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計画書</vt:lpstr>
      <vt:lpstr>進捗サマリ</vt:lpstr>
      <vt:lpstr>テスト実施記録</vt:lpstr>
      <vt:lpstr>スケジュール</vt:lpstr>
      <vt:lpstr>リスク</vt:lpstr>
      <vt:lpstr>不具合・気づき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テスト計画書（QA自動化ポートフォリオ）</dc:title>
  <dc:subject/>
  <dc:creator>openpyxl</dc:creator>
  <dc:description/>
  <cp:lastModifiedBy>達也 石井</cp:lastModifiedBy>
  <cp:revision>0</cp:revision>
  <dcterms:created xsi:type="dcterms:W3CDTF">2026-10-20T08:00:05Z</dcterms:created>
  <dcterms:modified xsi:type="dcterms:W3CDTF">2026-10-20T08:29:35Z</dcterms:modified>
  <dc:language>en-US</dc:language>
</cp:coreProperties>
</file>